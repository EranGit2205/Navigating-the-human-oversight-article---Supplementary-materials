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ran Sadovski\Dropbox\Doctorat2\Article 3 - Human oversight\"/>
    </mc:Choice>
  </mc:AlternateContent>
  <xr:revisionPtr revIDLastSave="0" documentId="13_ncr:1_{B1E1E693-FE19-4785-A323-99DE7F5D064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articipants responses" sheetId="1" r:id="rId1"/>
    <sheet name="Risk profile" sheetId="2" r:id="rId2"/>
    <sheet name="Familiarity" sheetId="3" r:id="rId3"/>
    <sheet name="Roles" sheetId="4" r:id="rId4"/>
    <sheet name="Age" sheetId="5" r:id="rId5"/>
    <sheet name="Shapiro Wilk" sheetId="6" r:id="rId6"/>
  </sheets>
  <definedNames>
    <definedName name="_xlnm._FilterDatabase" localSheetId="4" hidden="1">Age!$A$1:$L$59</definedName>
    <definedName name="_xlnm._FilterDatabase" localSheetId="2" hidden="1">Familiarity!$A$1:$L$59</definedName>
    <definedName name="_xlnm._FilterDatabase" localSheetId="1" hidden="1">'Risk profile'!$A$1:$L$59</definedName>
    <definedName name="_xlnm._FilterDatabase" localSheetId="3" hidden="1">Roles!$A$1:$L$59</definedName>
    <definedName name="_xlchart.v1.0" hidden="1">'Participants responses'!$A$67</definedName>
    <definedName name="_xlchart.v1.1" hidden="1">'Participants responses'!$A$68</definedName>
    <definedName name="_xlchart.v1.2" hidden="1">'Participants responses'!$A$69</definedName>
    <definedName name="_xlchart.v1.3" hidden="1">'Participants responses'!$A$70</definedName>
    <definedName name="_xlchart.v1.4" hidden="1">'Participants responses'!$B$67:$E$67</definedName>
    <definedName name="_xlchart.v1.5" hidden="1">'Participants responses'!$B$68:$E$68</definedName>
    <definedName name="_xlchart.v1.6" hidden="1">'Participants responses'!$B$69:$E$69</definedName>
    <definedName name="_xlchart.v1.7" hidden="1">'Participants responses'!$B$70:$E$70</definedName>
  </definedNames>
  <calcPr calcId="191029"/>
</workbook>
</file>

<file path=xl/calcChain.xml><?xml version="1.0" encoding="utf-8"?>
<calcChain xmlns="http://schemas.openxmlformats.org/spreadsheetml/2006/main">
  <c r="A59" i="5" l="1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L65" i="1"/>
  <c r="M65" i="1"/>
  <c r="N65" i="1"/>
  <c r="O65" i="1"/>
  <c r="P65" i="1"/>
  <c r="Q65" i="1"/>
  <c r="R65" i="1"/>
  <c r="S65" i="1"/>
  <c r="T65" i="1"/>
  <c r="U65" i="1"/>
  <c r="K65" i="1"/>
  <c r="L64" i="1"/>
  <c r="M64" i="1"/>
  <c r="N64" i="1"/>
  <c r="O64" i="1"/>
  <c r="P64" i="1"/>
  <c r="Q64" i="1"/>
  <c r="R64" i="1"/>
  <c r="S64" i="1"/>
  <c r="T64" i="1"/>
  <c r="U64" i="1"/>
  <c r="K64" i="1"/>
  <c r="L63" i="1"/>
  <c r="M63" i="1"/>
  <c r="N63" i="1"/>
  <c r="O63" i="1"/>
  <c r="P63" i="1"/>
  <c r="Q63" i="1"/>
  <c r="R63" i="1"/>
  <c r="S63" i="1"/>
  <c r="T63" i="1"/>
  <c r="U63" i="1"/>
  <c r="K63" i="1"/>
  <c r="K62" i="1"/>
  <c r="L62" i="1"/>
  <c r="M62" i="1"/>
  <c r="N62" i="1"/>
  <c r="O62" i="1"/>
  <c r="P62" i="1"/>
  <c r="Q62" i="1"/>
  <c r="R62" i="1"/>
  <c r="S62" i="1"/>
  <c r="T62" i="1"/>
  <c r="U62" i="1"/>
  <c r="S61" i="1"/>
  <c r="T61" i="1"/>
  <c r="U61" i="1"/>
  <c r="O61" i="1"/>
  <c r="P61" i="1"/>
  <c r="Q61" i="1"/>
  <c r="R61" i="1"/>
  <c r="L61" i="1"/>
  <c r="M61" i="1"/>
  <c r="N61" i="1"/>
  <c r="K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</calcChain>
</file>

<file path=xl/sharedStrings.xml><?xml version="1.0" encoding="utf-8"?>
<sst xmlns="http://schemas.openxmlformats.org/spreadsheetml/2006/main" count="722" uniqueCount="176">
  <si>
    <t>חותמת זמן</t>
  </si>
  <si>
    <t>Your age</t>
  </si>
  <si>
    <t>Your gender</t>
  </si>
  <si>
    <t>Your professional \ field of work (e.g., manager, operator)</t>
  </si>
  <si>
    <t>Your domain/industry (With respect to the AI system- e.g., military, health, finance...)</t>
  </si>
  <si>
    <t xml:space="preserve">How do you evaluate the risk factor (both safety and ethics) associated with the decisions made by the AI system you are using? </t>
  </si>
  <si>
    <t xml:space="preserve">  How would you rate your familiarity with AI-powered systems?</t>
  </si>
  <si>
    <t xml:space="preserve">  How many years of experience do you have with AI-based systems?</t>
  </si>
  <si>
    <t>Male</t>
  </si>
  <si>
    <t xml:space="preserve">Researcher in Medical Sciences </t>
  </si>
  <si>
    <t>Health Academy</t>
  </si>
  <si>
    <t>Medium</t>
  </si>
  <si>
    <t>less than 1</t>
  </si>
  <si>
    <t>Technology consultant</t>
  </si>
  <si>
    <t>Military, transportation</t>
  </si>
  <si>
    <t>CTO</t>
  </si>
  <si>
    <t xml:space="preserve">Transport, Defence </t>
  </si>
  <si>
    <t>Low</t>
  </si>
  <si>
    <t>Manager</t>
  </si>
  <si>
    <t>Transportation</t>
  </si>
  <si>
    <t>High</t>
  </si>
  <si>
    <t>Engineer</t>
  </si>
  <si>
    <t>Defense</t>
  </si>
  <si>
    <t>None</t>
  </si>
  <si>
    <t>Basic familiarity</t>
  </si>
  <si>
    <t>Project manager</t>
  </si>
  <si>
    <t>manager</t>
  </si>
  <si>
    <t>Technology</t>
  </si>
  <si>
    <t>Military</t>
  </si>
  <si>
    <t>Manager (Engineer)</t>
  </si>
  <si>
    <t>Industry (hightech)</t>
  </si>
  <si>
    <t>Product Manager</t>
  </si>
  <si>
    <t xml:space="preserve">Engineer </t>
  </si>
  <si>
    <t xml:space="preserve">Military </t>
  </si>
  <si>
    <t xml:space="preserve">Manager \ Cyber Security </t>
  </si>
  <si>
    <t>HLS</t>
  </si>
  <si>
    <t>4-5</t>
  </si>
  <si>
    <t>VP</t>
  </si>
  <si>
    <t xml:space="preserve">networking </t>
  </si>
  <si>
    <t>Lecturer</t>
  </si>
  <si>
    <t>Operation</t>
  </si>
  <si>
    <t>Female</t>
  </si>
  <si>
    <t>Researcher</t>
  </si>
  <si>
    <t>Academia</t>
  </si>
  <si>
    <t xml:space="preserve">Lecturer </t>
  </si>
  <si>
    <t xml:space="preserve">Education </t>
  </si>
  <si>
    <t>Doctor</t>
  </si>
  <si>
    <t>Healthcare</t>
  </si>
  <si>
    <t>Traffic control operator</t>
  </si>
  <si>
    <t>System engineer</t>
  </si>
  <si>
    <t>Autonomous Vehicles</t>
  </si>
  <si>
    <t>Lawyer</t>
  </si>
  <si>
    <t>Legal</t>
  </si>
  <si>
    <t xml:space="preserve">Musician </t>
  </si>
  <si>
    <t xml:space="preserve">Music </t>
  </si>
  <si>
    <t>Banker</t>
  </si>
  <si>
    <t xml:space="preserve">Finance </t>
  </si>
  <si>
    <t>Developer</t>
  </si>
  <si>
    <t>Fintech</t>
  </si>
  <si>
    <t>System designer</t>
  </si>
  <si>
    <t>Aerospace</t>
  </si>
  <si>
    <t xml:space="preserve">Consultant </t>
  </si>
  <si>
    <t xml:space="preserve">Defense </t>
  </si>
  <si>
    <t xml:space="preserve">Manager </t>
  </si>
  <si>
    <t xml:space="preserve">Transportation </t>
  </si>
  <si>
    <t>Information systems Engineer</t>
  </si>
  <si>
    <t xml:space="preserve">Insurance </t>
  </si>
  <si>
    <t>Software manager</t>
  </si>
  <si>
    <t>Security</t>
  </si>
  <si>
    <t xml:space="preserve">Less than a year </t>
  </si>
  <si>
    <t>Designer</t>
  </si>
  <si>
    <t>cyber</t>
  </si>
  <si>
    <t>operator</t>
  </si>
  <si>
    <t>defense</t>
  </si>
  <si>
    <t>retail</t>
  </si>
  <si>
    <t>Finance</t>
  </si>
  <si>
    <t>Cyber Architect</t>
  </si>
  <si>
    <t>Defense industry</t>
  </si>
  <si>
    <t xml:space="preserve">Government </t>
  </si>
  <si>
    <t xml:space="preserve">Professional services </t>
  </si>
  <si>
    <t>Cyber</t>
  </si>
  <si>
    <t>System Engineer</t>
  </si>
  <si>
    <t>Law</t>
  </si>
  <si>
    <t>1 year</t>
  </si>
  <si>
    <t xml:space="preserve">Software and ciber architect </t>
  </si>
  <si>
    <t>engineer</t>
  </si>
  <si>
    <t>military</t>
  </si>
  <si>
    <t>CPA</t>
  </si>
  <si>
    <t>finance</t>
  </si>
  <si>
    <t>1-2</t>
  </si>
  <si>
    <t xml:space="preserve">Cyber Security Expert </t>
  </si>
  <si>
    <t xml:space="preserve">Military, Government </t>
  </si>
  <si>
    <t>Professor of Accountancy</t>
  </si>
  <si>
    <t>Finane and Academic</t>
  </si>
  <si>
    <t>Senior manager - AI &amp; Data Consulting</t>
  </si>
  <si>
    <t>Peofessional Solutions</t>
  </si>
  <si>
    <t>1-2 years</t>
  </si>
  <si>
    <t xml:space="preserve">Sales Manager </t>
  </si>
  <si>
    <t>Hitech</t>
  </si>
  <si>
    <t>transportation</t>
  </si>
  <si>
    <t xml:space="preserve">Systems engineer </t>
  </si>
  <si>
    <t>Sys eng</t>
  </si>
  <si>
    <t>Law firm</t>
  </si>
  <si>
    <t>Financial</t>
  </si>
  <si>
    <t>Senior data scientist</t>
  </si>
  <si>
    <t>Automotive</t>
  </si>
  <si>
    <t>Age interval</t>
  </si>
  <si>
    <t>Roles</t>
  </si>
  <si>
    <t>Development team</t>
  </si>
  <si>
    <t>Management</t>
  </si>
  <si>
    <t>Operator</t>
  </si>
  <si>
    <t xml:space="preserve">Moderate </t>
  </si>
  <si>
    <t xml:space="preserve">High </t>
  </si>
  <si>
    <t xml:space="preserve">Expert </t>
  </si>
  <si>
    <t>Basic</t>
  </si>
  <si>
    <t>Count</t>
  </si>
  <si>
    <t>Mean</t>
  </si>
  <si>
    <t>Std</t>
  </si>
  <si>
    <t>min</t>
  </si>
  <si>
    <t>max</t>
  </si>
  <si>
    <t>Statement 1</t>
  </si>
  <si>
    <t>Statement 2</t>
  </si>
  <si>
    <t>Statement 3</t>
  </si>
  <si>
    <t>Statement 4</t>
  </si>
  <si>
    <t>Statement 5</t>
  </si>
  <si>
    <t>Statement 6</t>
  </si>
  <si>
    <t>Statement 7</t>
  </si>
  <si>
    <t>Statement 8</t>
  </si>
  <si>
    <t>Statement 9</t>
  </si>
  <si>
    <t>Statement 10</t>
  </si>
  <si>
    <t>Statement 11</t>
  </si>
  <si>
    <t>P-value</t>
  </si>
  <si>
    <t>Groups</t>
  </si>
  <si>
    <t>Moderate</t>
  </si>
  <si>
    <t>Expert</t>
  </si>
  <si>
    <t>Kruskal-Wallis Test Results</t>
  </si>
  <si>
    <t>H-statistics</t>
  </si>
  <si>
    <t>Shapiro</t>
  </si>
  <si>
    <t>Leven's</t>
  </si>
  <si>
    <t>Risk-Profile (p-value)</t>
  </si>
  <si>
    <t>Statament 5</t>
  </si>
  <si>
    <t>statement 8</t>
  </si>
  <si>
    <t>Statament 9</t>
  </si>
  <si>
    <t>Statament 10</t>
  </si>
  <si>
    <t>Statament 11</t>
  </si>
  <si>
    <t>Familiarity (p-value)</t>
  </si>
  <si>
    <t>Developers</t>
  </si>
  <si>
    <t>Skewness</t>
  </si>
  <si>
    <t xml:space="preserve">	4.0421</t>
  </si>
  <si>
    <t xml:space="preserve">3.5786	</t>
  </si>
  <si>
    <t xml:space="preserve">4.0428	</t>
  </si>
  <si>
    <t xml:space="preserve">3.578	</t>
  </si>
  <si>
    <t xml:space="preserve">4.1822	</t>
  </si>
  <si>
    <t xml:space="preserve">3.5743	</t>
  </si>
  <si>
    <t xml:space="preserve">3.5776	</t>
  </si>
  <si>
    <t xml:space="preserve">3.5781	</t>
  </si>
  <si>
    <t xml:space="preserve">3.5749	</t>
  </si>
  <si>
    <t>The observed effect size η2 is medium, 0.06. This indicates that the magnitude of the difference between the average is medium.</t>
  </si>
  <si>
    <t>Operators</t>
  </si>
  <si>
    <t>Median</t>
  </si>
  <si>
    <r>
      <t>The observed effect size η</t>
    </r>
    <r>
      <rPr>
        <sz val="7"/>
        <color rgb="FF212529"/>
        <rFont val="Segoe UI"/>
        <family val="2"/>
      </rPr>
      <t>2</t>
    </r>
    <r>
      <rPr>
        <sz val="9"/>
        <color rgb="FF212529"/>
        <rFont val="Segoe UI"/>
        <family val="2"/>
      </rPr>
      <t> is </t>
    </r>
    <r>
      <rPr>
        <b/>
        <sz val="9"/>
        <color rgb="FF212529"/>
        <rFont val="Segoe UI"/>
        <family val="2"/>
      </rPr>
      <t>small</t>
    </r>
    <r>
      <rPr>
        <sz val="9"/>
        <color rgb="FF212529"/>
        <rFont val="Segoe UI"/>
        <family val="2"/>
      </rPr>
      <t>, </t>
    </r>
    <r>
      <rPr>
        <b/>
        <sz val="9"/>
        <color rgb="FF212529"/>
        <rFont val="Segoe UI"/>
        <family val="2"/>
      </rPr>
      <t>0.028</t>
    </r>
  </si>
  <si>
    <r>
      <t>The observed effect size η</t>
    </r>
    <r>
      <rPr>
        <sz val="7"/>
        <color rgb="FF212529"/>
        <rFont val="Segoe UI"/>
        <family val="2"/>
      </rPr>
      <t>2</t>
    </r>
    <r>
      <rPr>
        <sz val="9"/>
        <color rgb="FF212529"/>
        <rFont val="Segoe UI"/>
        <family val="2"/>
      </rPr>
      <t> is </t>
    </r>
    <r>
      <rPr>
        <b/>
        <sz val="9"/>
        <color rgb="FF212529"/>
        <rFont val="Segoe UI"/>
        <family val="2"/>
      </rPr>
      <t>small</t>
    </r>
    <r>
      <rPr>
        <sz val="9"/>
        <color rgb="FF212529"/>
        <rFont val="Segoe UI"/>
        <family val="2"/>
      </rPr>
      <t>, </t>
    </r>
    <r>
      <rPr>
        <b/>
        <sz val="9"/>
        <color rgb="FF212529"/>
        <rFont val="Segoe UI"/>
        <family val="2"/>
      </rPr>
      <t>0.025</t>
    </r>
  </si>
  <si>
    <t xml:space="preserve">Low risk </t>
  </si>
  <si>
    <t>Meduim risk</t>
  </si>
  <si>
    <t>High risk</t>
  </si>
  <si>
    <t>counts</t>
  </si>
  <si>
    <t>Profile</t>
  </si>
  <si>
    <t xml:space="preserve">Basic </t>
  </si>
  <si>
    <t>Counts</t>
  </si>
  <si>
    <t>young adults</t>
  </si>
  <si>
    <t>Early middle</t>
  </si>
  <si>
    <t>Late middle</t>
  </si>
  <si>
    <t>senior</t>
  </si>
  <si>
    <t>Risk profile</t>
  </si>
  <si>
    <t>AI familiarity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</si>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</sst>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212529"/>
      <name val="Segoe UI"/>
      <family val="2"/>
    </font>
    <font>
      <sz val="7"/>
      <color rgb="FF212529"/>
      <name val="Segoe UI"/>
      <family val="2"/>
    </font>
    <font>
      <b/>
      <sz val="9"/>
      <color rgb="FF212529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164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/>
    <xf numFmtId="0" fontId="3" fillId="5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5" fillId="0" borderId="16" xfId="0" applyFont="1" applyBorder="1"/>
    <xf numFmtId="0" fontId="0" fillId="0" borderId="16" xfId="0" applyBorder="1"/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165" fontId="0" fillId="0" borderId="16" xfId="0" applyNumberFormat="1" applyBorder="1"/>
    <xf numFmtId="165" fontId="0" fillId="6" borderId="16" xfId="0" applyNumberFormat="1" applyFill="1" applyBorder="1"/>
    <xf numFmtId="0" fontId="5" fillId="0" borderId="0" xfId="0" applyFont="1"/>
    <xf numFmtId="0" fontId="0" fillId="6" borderId="0" xfId="0" applyFill="1"/>
    <xf numFmtId="0" fontId="0" fillId="7" borderId="0" xfId="0" applyFill="1"/>
    <xf numFmtId="11" fontId="0" fillId="7" borderId="0" xfId="0" applyNumberFormat="1" applyFill="1"/>
    <xf numFmtId="0" fontId="0" fillId="9" borderId="0" xfId="0" applyFill="1"/>
    <xf numFmtId="0" fontId="0" fillId="5" borderId="0" xfId="0" applyFill="1"/>
    <xf numFmtId="0" fontId="0" fillId="10" borderId="0" xfId="0" applyFill="1"/>
    <xf numFmtId="0" fontId="6" fillId="8" borderId="28" xfId="0" applyFont="1" applyFill="1" applyBorder="1" applyAlignment="1">
      <alignment vertical="top" wrapText="1"/>
    </xf>
    <xf numFmtId="0" fontId="5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165" fontId="0" fillId="0" borderId="0" xfId="0" applyNumberFormat="1"/>
    <xf numFmtId="0" fontId="0" fillId="5" borderId="16" xfId="0" applyFill="1" applyBorder="1"/>
    <xf numFmtId="0" fontId="6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2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תגובות לטופס 1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Participants</a:t>
            </a:r>
            <a:r>
              <a:rPr lang="en-US" baseline="0"/>
              <a:t> counts per group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5.0013779527559053E-2"/>
          <c:y val="0.16712962962962963"/>
          <c:w val="0.77986067366579181"/>
          <c:h val="0.72974555263925345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responses'!$B$67:$B$70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3-4B83-A97C-BB018CAB2B7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responses'!$C$67:$C$70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3-4B83-A97C-BB018CAB2B7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responses'!$D$67:$D$70</c:f>
              <c:numCache>
                <c:formatCode>General</c:formatCode>
                <c:ptCount val="4"/>
                <c:pt idx="0">
                  <c:v>26</c:v>
                </c:pt>
                <c:pt idx="1">
                  <c:v>19</c:v>
                </c:pt>
                <c:pt idx="2">
                  <c:v>23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3-4B83-A97C-BB018CAB2B70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responses'!$E$67:$E$70</c:f>
              <c:numCache>
                <c:formatCode>General</c:formatCode>
                <c:ptCount val="4"/>
                <c:pt idx="1">
                  <c:v>10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3-4B83-A97C-BB018CAB2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974560"/>
        <c:axId val="663977800"/>
      </c:barChart>
      <c:catAx>
        <c:axId val="6639745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3977800"/>
        <c:crossesAt val="0"/>
        <c:auto val="1"/>
        <c:lblAlgn val="ctr"/>
        <c:lblOffset val="100"/>
        <c:noMultiLvlLbl val="0"/>
      </c:catAx>
      <c:valAx>
        <c:axId val="663977800"/>
        <c:scaling>
          <c:orientation val="maxMin"/>
          <c:max val="5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39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555624</xdr:colOff>
      <xdr:row>63</xdr:row>
      <xdr:rowOff>85725</xdr:rowOff>
    </xdr:from>
    <xdr:to>
      <xdr:col>8</xdr:col>
      <xdr:colOff>971549</xdr:colOff>
      <xdr:row>77</xdr:row>
      <xdr:rowOff>73025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4E118610-B631-0FB4-AF8A-1AF515866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U59">
  <autoFilter ref="A1:U59" xr:uid="{00000000-000C-0000-FFFF-FFFF00000000}"/>
  <tableColumns count="21">
    <tableColumn id="1" xr3:uid="{00000000-0010-0000-0000-000001000000}" name="חותמת זמן"/>
    <tableColumn id="21" xr3:uid="{C787BA7F-399B-4C40-AD83-FF27752027CC}" name="Age interval" dataDxfId="16">
      <calculatedColumnFormula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calculatedColumnFormula>
    </tableColumn>
    <tableColumn id="2" xr3:uid="{00000000-0010-0000-0000-000002000000}" name="Your age" dataDxfId="15"/>
    <tableColumn id="3" xr3:uid="{00000000-0010-0000-0000-000003000000}" name="Your gender"/>
    <tableColumn id="22" xr3:uid="{F05C96AC-8AFB-4FB4-89CE-09292100F221}" name="Roles" dataDxfId="14"/>
    <tableColumn id="4" xr3:uid="{00000000-0010-0000-0000-000004000000}" name="Your professional \ field of work (e.g., manager, operator)"/>
    <tableColumn id="5" xr3:uid="{00000000-0010-0000-0000-000005000000}" name="Your domain/industry (With respect to the AI system- e.g., military, health, finance...)" dataDxfId="13"/>
    <tableColumn id="6" xr3:uid="{00000000-0010-0000-0000-000006000000}" name="How do you evaluate the risk factor (both safety and ethics) associated with the decisions made by the AI system you are using? " dataDxfId="12"/>
    <tableColumn id="7" xr3:uid="{00000000-0010-0000-0000-000007000000}" name="  How would you rate your familiarity with AI-powered systems?"/>
    <tableColumn id="8" xr3:uid="{00000000-0010-0000-0000-000008000000}" name="  How many years of experience do you have with AI-based systems?" dataDxfId="11"/>
    <tableColumn id="9" xr3:uid="{00000000-0010-0000-0000-000009000000}" name="Statement 1" dataDxfId="10"/>
    <tableColumn id="10" xr3:uid="{00000000-0010-0000-0000-00000A000000}" name="Statement 2" dataDxfId="9"/>
    <tableColumn id="11" xr3:uid="{00000000-0010-0000-0000-00000B000000}" name="Statement 3" dataDxfId="8"/>
    <tableColumn id="12" xr3:uid="{00000000-0010-0000-0000-00000C000000}" name="Statement 4" dataDxfId="7"/>
    <tableColumn id="13" xr3:uid="{00000000-0010-0000-0000-00000D000000}" name="Statement 5" dataDxfId="6"/>
    <tableColumn id="14" xr3:uid="{00000000-0010-0000-0000-00000E000000}" name="Statement 6" dataDxfId="5"/>
    <tableColumn id="15" xr3:uid="{00000000-0010-0000-0000-00000F000000}" name="Statement 7" dataDxfId="4"/>
    <tableColumn id="16" xr3:uid="{00000000-0010-0000-0000-000010000000}" name="Statement 8" dataDxfId="3"/>
    <tableColumn id="17" xr3:uid="{00000000-0010-0000-0000-000011000000}" name="Statement 9" dataDxfId="2"/>
    <tableColumn id="18" xr3:uid="{00000000-0010-0000-0000-000012000000}" name="Statement 10" dataDxfId="1"/>
    <tableColumn id="19" xr3:uid="{00000000-0010-0000-0000-000013000000}" name="Statement 11" dataDxfId="0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525" row="5">
    <wetp:webextensionref xmlns:r="http://schemas.openxmlformats.org/officeDocument/2006/relationships" r:id="rId1"/>
  </wetp:taskpane>
  <wetp:taskpane dockstate="lef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5658BF2-1A22-4AED-B284-0731C087D2E9}">
  <we:reference id="wa104379190" version="2.0.0.0" store="he-IL" storeType="OMEX"/>
  <we:alternateReferences>
    <we:reference id="wa104379190" version="2.0.0.0" store="WA104379190" storeType="OMEX"/>
  </we:alternateReferences>
  <we:properties/>
  <we:bindings>
    <we:binding id="RangeSelect" type="matrix" appref="{13502C72-0672-4B4D-8062-4B86CD0345CA}"/>
    <we:binding id="Input" type="matrix" appref="{525B5EB2-B984-4EB9-9E3D-E4D0BB870C3A}"/>
    <we:binding id="Output" type="matrix" appref="{8518B837-1508-4DF3-B57F-7CE21DE1A1F0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B4DF9D6-7D31-420B-A30B-6EACD1DDBF82}">
  <we:reference id="wa200002503" version="1.0.0.0" store="he-IL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0"/>
  <sheetViews>
    <sheetView workbookViewId="0">
      <pane ySplit="1" topLeftCell="A47" activePane="bottomLeft" state="frozen"/>
      <selection pane="bottomLeft" activeCell="J74" sqref="J74"/>
    </sheetView>
  </sheetViews>
  <sheetFormatPr defaultColWidth="12.6328125" defaultRowHeight="15.75" customHeight="1" x14ac:dyDescent="0.25"/>
  <cols>
    <col min="1" max="1" width="18.90625" customWidth="1"/>
    <col min="2" max="2" width="14.90625" customWidth="1"/>
    <col min="3" max="3" width="9.08984375" style="17" customWidth="1"/>
    <col min="4" max="4" width="7" customWidth="1"/>
    <col min="5" max="5" width="18.90625" style="17" customWidth="1"/>
    <col min="6" max="6" width="28.36328125" customWidth="1"/>
    <col min="7" max="7" width="37.6328125" style="17" customWidth="1"/>
    <col min="8" max="8" width="16.08984375" style="17" customWidth="1"/>
    <col min="9" max="9" width="17.453125" customWidth="1"/>
    <col min="10" max="10" width="14.1796875" style="17" customWidth="1"/>
    <col min="11" max="19" width="10.6328125" style="17" bestFit="1" customWidth="1"/>
    <col min="20" max="21" width="11.54296875" style="17" bestFit="1" customWidth="1"/>
    <col min="22" max="27" width="18.90625" customWidth="1"/>
  </cols>
  <sheetData>
    <row r="1" spans="1:21" ht="15.75" customHeight="1" x14ac:dyDescent="0.25">
      <c r="A1" s="1" t="s">
        <v>0</v>
      </c>
      <c r="B1" s="9" t="s">
        <v>106</v>
      </c>
      <c r="C1" s="13" t="s">
        <v>1</v>
      </c>
      <c r="D1" s="2" t="s">
        <v>2</v>
      </c>
      <c r="E1" s="13" t="s">
        <v>107</v>
      </c>
      <c r="F1" s="2" t="s">
        <v>3</v>
      </c>
      <c r="G1" s="13" t="s">
        <v>4</v>
      </c>
      <c r="H1" s="13" t="s">
        <v>5</v>
      </c>
      <c r="I1" s="2" t="s">
        <v>6</v>
      </c>
      <c r="J1" s="13" t="s">
        <v>7</v>
      </c>
      <c r="K1" s="23" t="s">
        <v>120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126</v>
      </c>
      <c r="R1" s="23" t="s">
        <v>127</v>
      </c>
      <c r="S1" s="23" t="s">
        <v>128</v>
      </c>
      <c r="T1" s="23" t="s">
        <v>129</v>
      </c>
      <c r="U1" s="23" t="s">
        <v>130</v>
      </c>
    </row>
    <row r="2" spans="1:21" ht="15.75" customHeight="1" x14ac:dyDescent="0.25">
      <c r="A2" s="3">
        <v>45824.477339560181</v>
      </c>
      <c r="B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2" s="14">
        <v>82</v>
      </c>
      <c r="D2" s="4" t="s">
        <v>8</v>
      </c>
      <c r="E2" s="14" t="s">
        <v>43</v>
      </c>
      <c r="F2" s="4" t="s">
        <v>9</v>
      </c>
      <c r="G2" s="14" t="s">
        <v>10</v>
      </c>
      <c r="H2" s="14" t="s">
        <v>11</v>
      </c>
      <c r="I2" s="4" t="s">
        <v>111</v>
      </c>
      <c r="J2" s="14" t="s">
        <v>12</v>
      </c>
      <c r="K2" s="14">
        <v>3</v>
      </c>
      <c r="L2" s="14">
        <v>4</v>
      </c>
      <c r="M2" s="14">
        <v>4</v>
      </c>
      <c r="N2" s="14">
        <v>3</v>
      </c>
      <c r="O2" s="14">
        <v>5</v>
      </c>
      <c r="P2" s="14">
        <v>5</v>
      </c>
      <c r="Q2" s="14">
        <v>5</v>
      </c>
      <c r="R2" s="14">
        <v>4</v>
      </c>
      <c r="S2" s="14">
        <v>5</v>
      </c>
      <c r="T2" s="14">
        <v>4</v>
      </c>
      <c r="U2" s="19">
        <v>3</v>
      </c>
    </row>
    <row r="3" spans="1:21" ht="15.75" customHeight="1" x14ac:dyDescent="0.25">
      <c r="A3" s="5">
        <v>45824.845636446757</v>
      </c>
      <c r="B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" s="15">
        <v>52</v>
      </c>
      <c r="D3" s="6" t="s">
        <v>8</v>
      </c>
      <c r="E3" s="15" t="s">
        <v>108</v>
      </c>
      <c r="F3" s="6" t="s">
        <v>13</v>
      </c>
      <c r="G3" s="15" t="s">
        <v>14</v>
      </c>
      <c r="H3" s="15" t="s">
        <v>11</v>
      </c>
      <c r="I3" s="6" t="s">
        <v>112</v>
      </c>
      <c r="J3" s="15">
        <v>5</v>
      </c>
      <c r="K3" s="15">
        <v>5</v>
      </c>
      <c r="L3" s="15">
        <v>5</v>
      </c>
      <c r="M3" s="15">
        <v>4</v>
      </c>
      <c r="N3" s="15">
        <v>3</v>
      </c>
      <c r="O3" s="15">
        <v>5</v>
      </c>
      <c r="P3" s="15">
        <v>3</v>
      </c>
      <c r="Q3" s="15">
        <v>4</v>
      </c>
      <c r="R3" s="15">
        <v>4</v>
      </c>
      <c r="S3" s="15">
        <v>3</v>
      </c>
      <c r="T3" s="15">
        <v>4</v>
      </c>
      <c r="U3" s="20">
        <v>4</v>
      </c>
    </row>
    <row r="4" spans="1:21" ht="15.75" customHeight="1" x14ac:dyDescent="0.25">
      <c r="A4" s="3">
        <v>45825.455151400463</v>
      </c>
      <c r="B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" s="14">
        <v>52</v>
      </c>
      <c r="D4" s="4" t="s">
        <v>8</v>
      </c>
      <c r="E4" s="14" t="s">
        <v>109</v>
      </c>
      <c r="F4" s="4" t="s">
        <v>15</v>
      </c>
      <c r="G4" s="14" t="s">
        <v>16</v>
      </c>
      <c r="H4" s="14" t="s">
        <v>17</v>
      </c>
      <c r="I4" s="4" t="s">
        <v>113</v>
      </c>
      <c r="J4" s="14">
        <v>20</v>
      </c>
      <c r="K4" s="14">
        <v>5</v>
      </c>
      <c r="L4" s="14">
        <v>3</v>
      </c>
      <c r="M4" s="14">
        <v>2</v>
      </c>
      <c r="N4" s="14">
        <v>3</v>
      </c>
      <c r="O4" s="14">
        <v>5</v>
      </c>
      <c r="P4" s="14">
        <v>5</v>
      </c>
      <c r="Q4" s="14">
        <v>5</v>
      </c>
      <c r="R4" s="14">
        <v>4</v>
      </c>
      <c r="S4" s="14">
        <v>4</v>
      </c>
      <c r="T4" s="14">
        <v>4</v>
      </c>
      <c r="U4" s="19">
        <v>4</v>
      </c>
    </row>
    <row r="5" spans="1:21" ht="15.75" customHeight="1" x14ac:dyDescent="0.25">
      <c r="A5" s="5">
        <v>45825.698694062499</v>
      </c>
      <c r="B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5" s="15">
        <v>39</v>
      </c>
      <c r="D5" s="6" t="s">
        <v>8</v>
      </c>
      <c r="E5" s="15" t="s">
        <v>109</v>
      </c>
      <c r="F5" s="6" t="s">
        <v>18</v>
      </c>
      <c r="G5" s="15" t="s">
        <v>19</v>
      </c>
      <c r="H5" s="15" t="s">
        <v>20</v>
      </c>
      <c r="I5" s="4" t="s">
        <v>111</v>
      </c>
      <c r="J5" s="15">
        <v>1</v>
      </c>
      <c r="K5" s="15">
        <v>4</v>
      </c>
      <c r="L5" s="15">
        <v>3</v>
      </c>
      <c r="M5" s="15">
        <v>4</v>
      </c>
      <c r="N5" s="15">
        <v>4</v>
      </c>
      <c r="O5" s="15">
        <v>5</v>
      </c>
      <c r="P5" s="15">
        <v>4</v>
      </c>
      <c r="Q5" s="15">
        <v>4</v>
      </c>
      <c r="R5" s="15">
        <v>4</v>
      </c>
      <c r="S5" s="15">
        <v>4</v>
      </c>
      <c r="T5" s="15">
        <v>2</v>
      </c>
      <c r="U5" s="20">
        <v>5</v>
      </c>
    </row>
    <row r="6" spans="1:21" ht="15.75" customHeight="1" x14ac:dyDescent="0.25">
      <c r="A6" s="3">
        <v>45825.85749811343</v>
      </c>
      <c r="B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6" s="14">
        <v>50</v>
      </c>
      <c r="D6" s="4" t="s">
        <v>8</v>
      </c>
      <c r="E6" s="14" t="s">
        <v>108</v>
      </c>
      <c r="F6" s="4" t="s">
        <v>21</v>
      </c>
      <c r="G6" s="14" t="s">
        <v>22</v>
      </c>
      <c r="H6" s="14" t="s">
        <v>20</v>
      </c>
      <c r="I6" s="6" t="s">
        <v>112</v>
      </c>
      <c r="J6" s="14">
        <v>3</v>
      </c>
      <c r="K6" s="14">
        <v>5</v>
      </c>
      <c r="L6" s="14">
        <v>5</v>
      </c>
      <c r="M6" s="14">
        <v>5</v>
      </c>
      <c r="N6" s="14">
        <v>3</v>
      </c>
      <c r="O6" s="14">
        <v>4</v>
      </c>
      <c r="P6" s="14">
        <v>5</v>
      </c>
      <c r="Q6" s="14">
        <v>5</v>
      </c>
      <c r="R6" s="14">
        <v>4</v>
      </c>
      <c r="S6" s="14">
        <v>5</v>
      </c>
      <c r="T6" s="14">
        <v>1</v>
      </c>
      <c r="U6" s="19">
        <v>3</v>
      </c>
    </row>
    <row r="7" spans="1:21" ht="15.75" customHeight="1" x14ac:dyDescent="0.25">
      <c r="A7" s="5">
        <v>45826.002925393521</v>
      </c>
      <c r="B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7" s="15">
        <v>50</v>
      </c>
      <c r="D7" s="6" t="s">
        <v>8</v>
      </c>
      <c r="E7" s="15" t="s">
        <v>109</v>
      </c>
      <c r="F7" s="6" t="s">
        <v>18</v>
      </c>
      <c r="G7" s="15" t="s">
        <v>22</v>
      </c>
      <c r="H7" s="15" t="s">
        <v>20</v>
      </c>
      <c r="I7" s="4" t="s">
        <v>111</v>
      </c>
      <c r="J7" s="15" t="s">
        <v>23</v>
      </c>
      <c r="K7" s="15">
        <v>4</v>
      </c>
      <c r="L7" s="15">
        <v>5</v>
      </c>
      <c r="M7" s="15">
        <v>5</v>
      </c>
      <c r="N7" s="15">
        <v>3</v>
      </c>
      <c r="O7" s="15">
        <v>5</v>
      </c>
      <c r="P7" s="15">
        <v>5</v>
      </c>
      <c r="Q7" s="15">
        <v>5</v>
      </c>
      <c r="R7" s="15">
        <v>5</v>
      </c>
      <c r="S7" s="15">
        <v>5</v>
      </c>
      <c r="T7" s="15">
        <v>2</v>
      </c>
      <c r="U7" s="20">
        <v>4</v>
      </c>
    </row>
    <row r="8" spans="1:21" ht="15.75" customHeight="1" x14ac:dyDescent="0.25">
      <c r="A8" s="3">
        <v>45826.354225324074</v>
      </c>
      <c r="B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8" s="14">
        <v>49</v>
      </c>
      <c r="D8" s="4" t="s">
        <v>8</v>
      </c>
      <c r="E8" s="14" t="s">
        <v>109</v>
      </c>
      <c r="F8" s="4" t="s">
        <v>15</v>
      </c>
      <c r="G8" s="14" t="s">
        <v>19</v>
      </c>
      <c r="H8" s="14" t="s">
        <v>11</v>
      </c>
      <c r="I8" s="4" t="s">
        <v>24</v>
      </c>
      <c r="J8" s="14">
        <v>0</v>
      </c>
      <c r="K8" s="14">
        <v>4</v>
      </c>
      <c r="L8" s="14">
        <v>4</v>
      </c>
      <c r="M8" s="14">
        <v>5</v>
      </c>
      <c r="N8" s="14">
        <v>4</v>
      </c>
      <c r="O8" s="14">
        <v>4</v>
      </c>
      <c r="P8" s="14">
        <v>3</v>
      </c>
      <c r="Q8" s="14">
        <v>5</v>
      </c>
      <c r="R8" s="14">
        <v>3</v>
      </c>
      <c r="S8" s="14">
        <v>4</v>
      </c>
      <c r="T8" s="14">
        <v>4</v>
      </c>
      <c r="U8" s="19">
        <v>4</v>
      </c>
    </row>
    <row r="9" spans="1:21" ht="15.75" customHeight="1" x14ac:dyDescent="0.25">
      <c r="A9" s="3">
        <v>45826.512548136576</v>
      </c>
      <c r="B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9" s="14">
        <v>53</v>
      </c>
      <c r="D9" s="4" t="s">
        <v>8</v>
      </c>
      <c r="E9" s="14" t="s">
        <v>109</v>
      </c>
      <c r="F9" s="4" t="s">
        <v>25</v>
      </c>
      <c r="G9" s="14" t="s">
        <v>22</v>
      </c>
      <c r="H9" s="14" t="s">
        <v>11</v>
      </c>
      <c r="I9" s="4" t="s">
        <v>113</v>
      </c>
      <c r="J9" s="14">
        <v>5</v>
      </c>
      <c r="K9" s="14">
        <v>5</v>
      </c>
      <c r="L9" s="14">
        <v>4</v>
      </c>
      <c r="M9" s="14">
        <v>2</v>
      </c>
      <c r="N9" s="14">
        <v>3</v>
      </c>
      <c r="O9" s="14">
        <v>5</v>
      </c>
      <c r="P9" s="14">
        <v>2</v>
      </c>
      <c r="Q9" s="14">
        <v>2</v>
      </c>
      <c r="R9" s="14">
        <v>1</v>
      </c>
      <c r="S9" s="14">
        <v>5</v>
      </c>
      <c r="T9" s="14">
        <v>4</v>
      </c>
      <c r="U9" s="19">
        <v>5</v>
      </c>
    </row>
    <row r="10" spans="1:21" ht="15.75" customHeight="1" x14ac:dyDescent="0.25">
      <c r="A10" s="5">
        <v>45826.516540763885</v>
      </c>
      <c r="B10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0" s="15">
        <v>52</v>
      </c>
      <c r="D10" s="6" t="s">
        <v>8</v>
      </c>
      <c r="E10" s="15" t="s">
        <v>109</v>
      </c>
      <c r="F10" s="6" t="s">
        <v>26</v>
      </c>
      <c r="G10" s="15" t="s">
        <v>27</v>
      </c>
      <c r="H10" s="15" t="s">
        <v>20</v>
      </c>
      <c r="I10" s="6" t="s">
        <v>112</v>
      </c>
      <c r="J10" s="15">
        <v>2</v>
      </c>
      <c r="K10" s="15">
        <v>4</v>
      </c>
      <c r="L10" s="15">
        <v>5</v>
      </c>
      <c r="M10" s="15">
        <v>4</v>
      </c>
      <c r="N10" s="15">
        <v>4</v>
      </c>
      <c r="O10" s="15">
        <v>4</v>
      </c>
      <c r="P10" s="15">
        <v>4</v>
      </c>
      <c r="Q10" s="15">
        <v>4</v>
      </c>
      <c r="R10" s="15">
        <v>2</v>
      </c>
      <c r="S10" s="15">
        <v>2</v>
      </c>
      <c r="T10" s="15">
        <v>2</v>
      </c>
      <c r="U10" s="20">
        <v>4</v>
      </c>
    </row>
    <row r="11" spans="1:21" ht="15.75" customHeight="1" x14ac:dyDescent="0.25">
      <c r="A11" s="3">
        <v>45826.546903564813</v>
      </c>
      <c r="B11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11" s="14">
        <v>35</v>
      </c>
      <c r="D11" s="4" t="s">
        <v>8</v>
      </c>
      <c r="E11" s="14" t="s">
        <v>109</v>
      </c>
      <c r="F11" s="4" t="s">
        <v>18</v>
      </c>
      <c r="G11" s="14" t="s">
        <v>28</v>
      </c>
      <c r="H11" s="14" t="s">
        <v>20</v>
      </c>
      <c r="I11" s="4" t="s">
        <v>113</v>
      </c>
      <c r="J11" s="14">
        <v>10</v>
      </c>
      <c r="K11" s="14">
        <v>5</v>
      </c>
      <c r="L11" s="14">
        <v>4</v>
      </c>
      <c r="M11" s="14">
        <v>3</v>
      </c>
      <c r="N11" s="14">
        <v>4</v>
      </c>
      <c r="O11" s="14">
        <v>5</v>
      </c>
      <c r="P11" s="14">
        <v>4</v>
      </c>
      <c r="Q11" s="14">
        <v>4</v>
      </c>
      <c r="R11" s="14">
        <v>5</v>
      </c>
      <c r="S11" s="14">
        <v>5</v>
      </c>
      <c r="T11" s="14"/>
      <c r="U11" s="19">
        <v>4</v>
      </c>
    </row>
    <row r="12" spans="1:21" ht="15.75" customHeight="1" x14ac:dyDescent="0.25">
      <c r="A12" s="5">
        <v>45826.549033055555</v>
      </c>
      <c r="B12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2" s="15">
        <v>50</v>
      </c>
      <c r="D12" s="6" t="s">
        <v>8</v>
      </c>
      <c r="E12" s="15" t="s">
        <v>109</v>
      </c>
      <c r="F12" s="6" t="s">
        <v>29</v>
      </c>
      <c r="G12" s="15" t="s">
        <v>30</v>
      </c>
      <c r="H12" s="15" t="s">
        <v>17</v>
      </c>
      <c r="I12" s="6" t="s">
        <v>112</v>
      </c>
      <c r="J12" s="15">
        <v>3</v>
      </c>
      <c r="K12" s="15">
        <v>4</v>
      </c>
      <c r="L12" s="15">
        <v>4</v>
      </c>
      <c r="M12" s="15">
        <v>5</v>
      </c>
      <c r="N12" s="15">
        <v>3</v>
      </c>
      <c r="O12" s="15">
        <v>5</v>
      </c>
      <c r="P12" s="15">
        <v>4</v>
      </c>
      <c r="Q12" s="15">
        <v>4</v>
      </c>
      <c r="R12" s="15">
        <v>3</v>
      </c>
      <c r="S12" s="15">
        <v>4</v>
      </c>
      <c r="T12" s="15">
        <v>4</v>
      </c>
      <c r="U12" s="20">
        <v>4</v>
      </c>
    </row>
    <row r="13" spans="1:21" ht="15.75" customHeight="1" x14ac:dyDescent="0.25">
      <c r="A13" s="3">
        <v>45826.565211018518</v>
      </c>
      <c r="B13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13" s="14">
        <v>35</v>
      </c>
      <c r="D13" s="4" t="s">
        <v>8</v>
      </c>
      <c r="E13" s="14" t="s">
        <v>109</v>
      </c>
      <c r="F13" s="4" t="s">
        <v>31</v>
      </c>
      <c r="G13" s="14" t="s">
        <v>19</v>
      </c>
      <c r="H13" s="14" t="s">
        <v>11</v>
      </c>
      <c r="I13" s="4" t="s">
        <v>111</v>
      </c>
      <c r="J13" s="14">
        <v>4</v>
      </c>
      <c r="K13" s="14">
        <v>4</v>
      </c>
      <c r="L13" s="14">
        <v>5</v>
      </c>
      <c r="M13" s="14">
        <v>4</v>
      </c>
      <c r="N13" s="14">
        <v>3</v>
      </c>
      <c r="O13" s="14">
        <v>4</v>
      </c>
      <c r="P13" s="14">
        <v>4</v>
      </c>
      <c r="Q13" s="14">
        <v>4</v>
      </c>
      <c r="R13" s="14">
        <v>4</v>
      </c>
      <c r="S13" s="14">
        <v>5</v>
      </c>
      <c r="T13" s="14">
        <v>4</v>
      </c>
      <c r="U13" s="19">
        <v>4</v>
      </c>
    </row>
    <row r="14" spans="1:21" ht="15.75" customHeight="1" x14ac:dyDescent="0.25">
      <c r="A14" s="5">
        <v>45826.587216296291</v>
      </c>
      <c r="B14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4" s="15">
        <v>64</v>
      </c>
      <c r="D14" s="6" t="s">
        <v>8</v>
      </c>
      <c r="E14" s="15" t="s">
        <v>108</v>
      </c>
      <c r="F14" s="6" t="s">
        <v>32</v>
      </c>
      <c r="G14" s="15" t="s">
        <v>33</v>
      </c>
      <c r="H14" s="15" t="s">
        <v>20</v>
      </c>
      <c r="I14" s="4" t="s">
        <v>111</v>
      </c>
      <c r="J14" s="15">
        <v>35</v>
      </c>
      <c r="K14" s="15">
        <v>4</v>
      </c>
      <c r="L14" s="15">
        <v>5</v>
      </c>
      <c r="M14" s="15">
        <v>4</v>
      </c>
      <c r="N14" s="15">
        <v>5</v>
      </c>
      <c r="O14" s="15">
        <v>4</v>
      </c>
      <c r="P14" s="15">
        <v>2</v>
      </c>
      <c r="Q14" s="15">
        <v>4</v>
      </c>
      <c r="R14" s="15">
        <v>5</v>
      </c>
      <c r="S14" s="15">
        <v>4</v>
      </c>
      <c r="T14" s="15">
        <v>3</v>
      </c>
      <c r="U14" s="20">
        <v>4</v>
      </c>
    </row>
    <row r="15" spans="1:21" ht="15.75" customHeight="1" x14ac:dyDescent="0.25">
      <c r="A15" s="3">
        <v>45826.693233831014</v>
      </c>
      <c r="B15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5" s="14">
        <v>45</v>
      </c>
      <c r="D15" s="4" t="s">
        <v>8</v>
      </c>
      <c r="E15" s="14" t="s">
        <v>108</v>
      </c>
      <c r="F15" s="4" t="s">
        <v>34</v>
      </c>
      <c r="G15" s="14" t="s">
        <v>35</v>
      </c>
      <c r="H15" s="14" t="s">
        <v>17</v>
      </c>
      <c r="I15" s="4" t="s">
        <v>113</v>
      </c>
      <c r="J15" s="18" t="s">
        <v>36</v>
      </c>
      <c r="K15" s="14">
        <v>5</v>
      </c>
      <c r="L15" s="14">
        <v>4</v>
      </c>
      <c r="M15" s="14">
        <v>5</v>
      </c>
      <c r="N15" s="14">
        <v>4</v>
      </c>
      <c r="O15" s="14">
        <v>4</v>
      </c>
      <c r="P15" s="14">
        <v>5</v>
      </c>
      <c r="Q15" s="14">
        <v>5</v>
      </c>
      <c r="R15" s="14">
        <v>3</v>
      </c>
      <c r="S15" s="14">
        <v>3</v>
      </c>
      <c r="T15" s="14">
        <v>4</v>
      </c>
      <c r="U15" s="19">
        <v>4</v>
      </c>
    </row>
    <row r="16" spans="1:21" ht="15.75" customHeight="1" x14ac:dyDescent="0.25">
      <c r="A16" s="5">
        <v>45826.79142981481</v>
      </c>
      <c r="B16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6" s="15">
        <v>52</v>
      </c>
      <c r="D16" s="6" t="s">
        <v>8</v>
      </c>
      <c r="E16" s="15" t="s">
        <v>109</v>
      </c>
      <c r="F16" s="6" t="s">
        <v>37</v>
      </c>
      <c r="G16" s="15" t="s">
        <v>38</v>
      </c>
      <c r="H16" s="15" t="s">
        <v>17</v>
      </c>
      <c r="I16" s="4" t="s">
        <v>113</v>
      </c>
      <c r="J16" s="15">
        <v>5</v>
      </c>
      <c r="K16" s="15">
        <v>4</v>
      </c>
      <c r="L16" s="15">
        <v>5</v>
      </c>
      <c r="M16" s="15">
        <v>4</v>
      </c>
      <c r="N16" s="15">
        <v>3</v>
      </c>
      <c r="O16" s="15">
        <v>4</v>
      </c>
      <c r="P16" s="15">
        <v>4</v>
      </c>
      <c r="Q16" s="15">
        <v>5</v>
      </c>
      <c r="R16" s="15">
        <v>4</v>
      </c>
      <c r="S16" s="15">
        <v>5</v>
      </c>
      <c r="T16" s="15">
        <v>4</v>
      </c>
      <c r="U16" s="20">
        <v>4</v>
      </c>
    </row>
    <row r="17" spans="1:21" ht="15.75" customHeight="1" x14ac:dyDescent="0.25">
      <c r="A17" s="3">
        <v>45826.993571597224</v>
      </c>
      <c r="B17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17" s="14">
        <v>79</v>
      </c>
      <c r="D17" s="4" t="s">
        <v>8</v>
      </c>
      <c r="E17" s="14" t="s">
        <v>43</v>
      </c>
      <c r="F17" s="4" t="s">
        <v>39</v>
      </c>
      <c r="G17" s="14" t="s">
        <v>40</v>
      </c>
      <c r="H17" s="14" t="s">
        <v>20</v>
      </c>
      <c r="I17" s="4" t="s">
        <v>111</v>
      </c>
      <c r="J17" s="14">
        <v>10</v>
      </c>
      <c r="K17" s="14">
        <v>3</v>
      </c>
      <c r="L17" s="14">
        <v>4</v>
      </c>
      <c r="M17" s="14">
        <v>5</v>
      </c>
      <c r="N17" s="14">
        <v>1</v>
      </c>
      <c r="O17" s="14">
        <v>2</v>
      </c>
      <c r="P17" s="14">
        <v>5</v>
      </c>
      <c r="Q17" s="14">
        <v>5</v>
      </c>
      <c r="R17" s="14">
        <v>5</v>
      </c>
      <c r="S17" s="14">
        <v>4</v>
      </c>
      <c r="T17" s="14">
        <v>2</v>
      </c>
      <c r="U17" s="19">
        <v>2</v>
      </c>
    </row>
    <row r="18" spans="1:21" ht="15.75" customHeight="1" x14ac:dyDescent="0.25">
      <c r="A18" s="5">
        <v>45827.372211759255</v>
      </c>
      <c r="B18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8" s="15">
        <v>63</v>
      </c>
      <c r="D18" s="6" t="s">
        <v>41</v>
      </c>
      <c r="E18" s="15" t="s">
        <v>43</v>
      </c>
      <c r="F18" s="6" t="s">
        <v>42</v>
      </c>
      <c r="G18" s="15" t="s">
        <v>43</v>
      </c>
      <c r="H18" s="15" t="s">
        <v>11</v>
      </c>
      <c r="I18" s="4" t="s">
        <v>111</v>
      </c>
      <c r="J18" s="15">
        <v>5</v>
      </c>
      <c r="K18" s="15">
        <v>5</v>
      </c>
      <c r="L18" s="15">
        <v>4</v>
      </c>
      <c r="M18" s="15">
        <v>5</v>
      </c>
      <c r="N18" s="15">
        <v>4</v>
      </c>
      <c r="O18" s="15">
        <v>5</v>
      </c>
      <c r="P18" s="15">
        <v>4</v>
      </c>
      <c r="Q18" s="15">
        <v>5</v>
      </c>
      <c r="R18" s="15">
        <v>3</v>
      </c>
      <c r="S18" s="15">
        <v>5</v>
      </c>
      <c r="T18" s="15">
        <v>3</v>
      </c>
      <c r="U18" s="20">
        <v>4</v>
      </c>
    </row>
    <row r="19" spans="1:21" ht="15.75" customHeight="1" x14ac:dyDescent="0.25">
      <c r="A19" s="3">
        <v>45827.398969999995</v>
      </c>
      <c r="B1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9" s="14">
        <v>63</v>
      </c>
      <c r="D19" s="4" t="s">
        <v>8</v>
      </c>
      <c r="E19" s="14" t="s">
        <v>43</v>
      </c>
      <c r="F19" s="4" t="s">
        <v>44</v>
      </c>
      <c r="G19" s="14" t="s">
        <v>45</v>
      </c>
      <c r="H19" s="14" t="s">
        <v>17</v>
      </c>
      <c r="I19" s="6" t="s">
        <v>112</v>
      </c>
      <c r="J19" s="14">
        <v>5</v>
      </c>
      <c r="K19" s="14">
        <v>4</v>
      </c>
      <c r="L19" s="14">
        <v>5</v>
      </c>
      <c r="M19" s="14">
        <v>4</v>
      </c>
      <c r="N19" s="14">
        <v>4</v>
      </c>
      <c r="O19" s="14">
        <v>4</v>
      </c>
      <c r="P19" s="14">
        <v>3</v>
      </c>
      <c r="Q19" s="14">
        <v>4</v>
      </c>
      <c r="R19" s="14">
        <v>4</v>
      </c>
      <c r="S19" s="14">
        <v>4</v>
      </c>
      <c r="T19" s="14">
        <v>4</v>
      </c>
      <c r="U19" s="19">
        <v>4</v>
      </c>
    </row>
    <row r="20" spans="1:21" ht="15.75" customHeight="1" x14ac:dyDescent="0.25">
      <c r="A20" s="3">
        <v>45827.640511076388</v>
      </c>
      <c r="B2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0" s="14">
        <v>45</v>
      </c>
      <c r="D20" s="4" t="s">
        <v>8</v>
      </c>
      <c r="E20" s="14" t="s">
        <v>110</v>
      </c>
      <c r="F20" s="4" t="s">
        <v>46</v>
      </c>
      <c r="G20" s="14" t="s">
        <v>47</v>
      </c>
      <c r="H20" s="14" t="s">
        <v>20</v>
      </c>
      <c r="I20" s="4" t="s">
        <v>111</v>
      </c>
      <c r="J20" s="14">
        <v>10</v>
      </c>
      <c r="K20" s="14">
        <v>4</v>
      </c>
      <c r="L20" s="14">
        <v>5</v>
      </c>
      <c r="M20" s="14">
        <v>4</v>
      </c>
      <c r="N20" s="14">
        <v>2</v>
      </c>
      <c r="O20" s="14">
        <v>5</v>
      </c>
      <c r="P20" s="14">
        <v>3</v>
      </c>
      <c r="Q20" s="14">
        <v>5</v>
      </c>
      <c r="R20" s="14">
        <v>4</v>
      </c>
      <c r="S20" s="14">
        <v>5</v>
      </c>
      <c r="T20" s="14">
        <v>2</v>
      </c>
      <c r="U20" s="19">
        <v>2</v>
      </c>
    </row>
    <row r="21" spans="1:21" ht="15.75" customHeight="1" x14ac:dyDescent="0.25">
      <c r="A21" s="5">
        <v>45827.645700428242</v>
      </c>
      <c r="B2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1" s="15">
        <v>42</v>
      </c>
      <c r="D21" s="6" t="s">
        <v>8</v>
      </c>
      <c r="E21" s="15" t="s">
        <v>110</v>
      </c>
      <c r="F21" s="6" t="s">
        <v>48</v>
      </c>
      <c r="G21" s="15" t="s">
        <v>19</v>
      </c>
      <c r="H21" s="15" t="s">
        <v>20</v>
      </c>
      <c r="I21" s="4" t="s">
        <v>111</v>
      </c>
      <c r="J21" s="15">
        <v>5</v>
      </c>
      <c r="K21" s="15">
        <v>5</v>
      </c>
      <c r="L21" s="15">
        <v>5</v>
      </c>
      <c r="M21" s="15">
        <v>5</v>
      </c>
      <c r="N21" s="15">
        <v>4</v>
      </c>
      <c r="O21" s="15">
        <v>5</v>
      </c>
      <c r="P21" s="15">
        <v>5</v>
      </c>
      <c r="Q21" s="15">
        <v>5</v>
      </c>
      <c r="R21" s="15">
        <v>4</v>
      </c>
      <c r="S21" s="15">
        <v>5</v>
      </c>
      <c r="T21" s="15">
        <v>4</v>
      </c>
      <c r="U21" s="20">
        <v>4</v>
      </c>
    </row>
    <row r="22" spans="1:21" ht="15.75" customHeight="1" x14ac:dyDescent="0.25">
      <c r="A22" s="3">
        <v>45827.65175478009</v>
      </c>
      <c r="B2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2" s="14">
        <v>38</v>
      </c>
      <c r="D22" s="4" t="s">
        <v>8</v>
      </c>
      <c r="E22" s="14" t="s">
        <v>108</v>
      </c>
      <c r="F22" s="4" t="s">
        <v>49</v>
      </c>
      <c r="G22" s="14" t="s">
        <v>50</v>
      </c>
      <c r="H22" s="14" t="s">
        <v>20</v>
      </c>
      <c r="I22" s="4" t="s">
        <v>113</v>
      </c>
      <c r="J22" s="14">
        <v>6</v>
      </c>
      <c r="K22" s="14">
        <v>4</v>
      </c>
      <c r="L22" s="14">
        <v>5</v>
      </c>
      <c r="M22" s="14">
        <v>5</v>
      </c>
      <c r="N22" s="14">
        <v>3</v>
      </c>
      <c r="O22" s="14">
        <v>5</v>
      </c>
      <c r="P22" s="14">
        <v>5</v>
      </c>
      <c r="Q22" s="14">
        <v>5</v>
      </c>
      <c r="R22" s="14">
        <v>4</v>
      </c>
      <c r="S22" s="14">
        <v>5</v>
      </c>
      <c r="T22" s="14">
        <v>3</v>
      </c>
      <c r="U22" s="19">
        <v>4</v>
      </c>
    </row>
    <row r="23" spans="1:21" ht="15.75" customHeight="1" x14ac:dyDescent="0.25">
      <c r="A23" s="5">
        <v>45827.658355763888</v>
      </c>
      <c r="B2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3" s="15">
        <v>45</v>
      </c>
      <c r="D23" s="6" t="s">
        <v>41</v>
      </c>
      <c r="E23" s="15" t="s">
        <v>110</v>
      </c>
      <c r="F23" s="6" t="s">
        <v>51</v>
      </c>
      <c r="G23" s="15" t="s">
        <v>52</v>
      </c>
      <c r="H23" s="15" t="s">
        <v>20</v>
      </c>
      <c r="I23" s="4" t="s">
        <v>111</v>
      </c>
      <c r="J23" s="15">
        <v>2</v>
      </c>
      <c r="K23" s="15">
        <v>5</v>
      </c>
      <c r="L23" s="15">
        <v>5</v>
      </c>
      <c r="M23" s="15">
        <v>5</v>
      </c>
      <c r="N23" s="15">
        <v>3</v>
      </c>
      <c r="O23" s="15">
        <v>5</v>
      </c>
      <c r="P23" s="15">
        <v>4</v>
      </c>
      <c r="Q23" s="15">
        <v>5</v>
      </c>
      <c r="R23" s="15">
        <v>4</v>
      </c>
      <c r="S23" s="15">
        <v>5</v>
      </c>
      <c r="T23" s="15">
        <v>2</v>
      </c>
      <c r="U23" s="20">
        <v>3</v>
      </c>
    </row>
    <row r="24" spans="1:21" ht="15.75" customHeight="1" x14ac:dyDescent="0.25">
      <c r="A24" s="3">
        <v>45827.661612766206</v>
      </c>
      <c r="B2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4" s="14">
        <v>31</v>
      </c>
      <c r="D24" s="4" t="s">
        <v>8</v>
      </c>
      <c r="E24" s="14" t="s">
        <v>110</v>
      </c>
      <c r="F24" s="4" t="s">
        <v>53</v>
      </c>
      <c r="G24" s="14" t="s">
        <v>54</v>
      </c>
      <c r="H24" s="14" t="s">
        <v>17</v>
      </c>
      <c r="I24" s="6" t="s">
        <v>112</v>
      </c>
      <c r="J24" s="14">
        <v>1</v>
      </c>
      <c r="K24" s="14">
        <v>4</v>
      </c>
      <c r="L24" s="14">
        <v>5</v>
      </c>
      <c r="M24" s="14">
        <v>5</v>
      </c>
      <c r="N24" s="14">
        <v>3</v>
      </c>
      <c r="O24" s="14">
        <v>4</v>
      </c>
      <c r="P24" s="14">
        <v>3</v>
      </c>
      <c r="Q24" s="14">
        <v>5</v>
      </c>
      <c r="R24" s="14">
        <v>2</v>
      </c>
      <c r="S24" s="14">
        <v>4</v>
      </c>
      <c r="T24" s="14">
        <v>4</v>
      </c>
      <c r="U24" s="19">
        <v>3</v>
      </c>
    </row>
    <row r="25" spans="1:21" ht="15.75" customHeight="1" x14ac:dyDescent="0.25">
      <c r="A25" s="5">
        <v>45827.67807248843</v>
      </c>
      <c r="B2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5" s="15">
        <v>50</v>
      </c>
      <c r="D25" s="6" t="s">
        <v>8</v>
      </c>
      <c r="E25" s="15" t="s">
        <v>110</v>
      </c>
      <c r="F25" s="6" t="s">
        <v>55</v>
      </c>
      <c r="G25" s="15" t="s">
        <v>56</v>
      </c>
      <c r="H25" s="15" t="s">
        <v>20</v>
      </c>
      <c r="I25" s="6" t="s">
        <v>114</v>
      </c>
      <c r="J25" s="15">
        <v>1</v>
      </c>
      <c r="K25" s="15">
        <v>5</v>
      </c>
      <c r="L25" s="15">
        <v>5</v>
      </c>
      <c r="M25" s="15">
        <v>5</v>
      </c>
      <c r="N25" s="15">
        <v>3</v>
      </c>
      <c r="O25" s="15">
        <v>5</v>
      </c>
      <c r="P25" s="15">
        <v>4</v>
      </c>
      <c r="Q25" s="15">
        <v>5</v>
      </c>
      <c r="R25" s="15">
        <v>3</v>
      </c>
      <c r="S25" s="15">
        <v>5</v>
      </c>
      <c r="T25" s="15">
        <v>3</v>
      </c>
      <c r="U25" s="20">
        <v>4</v>
      </c>
    </row>
    <row r="26" spans="1:21" ht="15.75" customHeight="1" x14ac:dyDescent="0.25">
      <c r="A26" s="3">
        <v>45827.680077303245</v>
      </c>
      <c r="B2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6" s="14">
        <v>35</v>
      </c>
      <c r="D26" s="4" t="s">
        <v>8</v>
      </c>
      <c r="E26" s="14" t="s">
        <v>108</v>
      </c>
      <c r="F26" s="4" t="s">
        <v>57</v>
      </c>
      <c r="G26" s="14" t="s">
        <v>58</v>
      </c>
      <c r="H26" s="14" t="s">
        <v>20</v>
      </c>
      <c r="I26" s="4" t="s">
        <v>113</v>
      </c>
      <c r="J26" s="14">
        <v>6</v>
      </c>
      <c r="K26" s="14">
        <v>4</v>
      </c>
      <c r="L26" s="14">
        <v>5</v>
      </c>
      <c r="M26" s="14">
        <v>5</v>
      </c>
      <c r="N26" s="14">
        <v>3</v>
      </c>
      <c r="O26" s="14">
        <v>5</v>
      </c>
      <c r="P26" s="14">
        <v>5</v>
      </c>
      <c r="Q26" s="14">
        <v>5</v>
      </c>
      <c r="R26" s="14">
        <v>3</v>
      </c>
      <c r="S26" s="14">
        <v>5</v>
      </c>
      <c r="T26" s="14">
        <v>4</v>
      </c>
      <c r="U26" s="19">
        <v>4</v>
      </c>
    </row>
    <row r="27" spans="1:21" ht="15.75" customHeight="1" x14ac:dyDescent="0.25">
      <c r="A27" s="5">
        <v>45827.683871377318</v>
      </c>
      <c r="B2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7" s="15">
        <v>47</v>
      </c>
      <c r="D27" s="6" t="s">
        <v>8</v>
      </c>
      <c r="E27" s="15" t="s">
        <v>108</v>
      </c>
      <c r="F27" s="6" t="s">
        <v>59</v>
      </c>
      <c r="G27" s="15" t="s">
        <v>60</v>
      </c>
      <c r="H27" s="15" t="s">
        <v>20</v>
      </c>
      <c r="I27" s="6" t="s">
        <v>112</v>
      </c>
      <c r="J27" s="15">
        <v>5</v>
      </c>
      <c r="K27" s="15">
        <v>5</v>
      </c>
      <c r="L27" s="15">
        <v>5</v>
      </c>
      <c r="M27" s="15">
        <v>5</v>
      </c>
      <c r="N27" s="15">
        <v>4</v>
      </c>
      <c r="O27" s="15">
        <v>5</v>
      </c>
      <c r="P27" s="15">
        <v>5</v>
      </c>
      <c r="Q27" s="15">
        <v>5</v>
      </c>
      <c r="R27" s="15">
        <v>4</v>
      </c>
      <c r="S27" s="15">
        <v>5</v>
      </c>
      <c r="T27" s="15">
        <v>3</v>
      </c>
      <c r="U27" s="20">
        <v>4</v>
      </c>
    </row>
    <row r="28" spans="1:21" ht="15.75" customHeight="1" x14ac:dyDescent="0.25">
      <c r="A28" s="3">
        <v>45827.788578993059</v>
      </c>
      <c r="B2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8" s="14">
        <v>51</v>
      </c>
      <c r="D28" s="4" t="s">
        <v>8</v>
      </c>
      <c r="E28" s="14" t="s">
        <v>108</v>
      </c>
      <c r="F28" s="4" t="s">
        <v>61</v>
      </c>
      <c r="G28" s="14" t="s">
        <v>62</v>
      </c>
      <c r="H28" s="14" t="s">
        <v>17</v>
      </c>
      <c r="I28" s="6" t="s">
        <v>112</v>
      </c>
      <c r="J28" s="14">
        <v>1</v>
      </c>
      <c r="K28" s="14">
        <v>4</v>
      </c>
      <c r="L28" s="14">
        <v>4</v>
      </c>
      <c r="M28" s="14">
        <v>4</v>
      </c>
      <c r="N28" s="14">
        <v>2</v>
      </c>
      <c r="O28" s="14">
        <v>4</v>
      </c>
      <c r="P28" s="14">
        <v>3</v>
      </c>
      <c r="Q28" s="14">
        <v>5</v>
      </c>
      <c r="R28" s="14">
        <v>2</v>
      </c>
      <c r="S28" s="14">
        <v>3</v>
      </c>
      <c r="T28" s="14">
        <v>4</v>
      </c>
      <c r="U28" s="19">
        <v>4</v>
      </c>
    </row>
    <row r="29" spans="1:21" ht="15.75" customHeight="1" x14ac:dyDescent="0.25">
      <c r="A29" s="5">
        <v>45828.533464293985</v>
      </c>
      <c r="B2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9" s="15">
        <v>49</v>
      </c>
      <c r="D29" s="6" t="s">
        <v>8</v>
      </c>
      <c r="E29" s="15" t="s">
        <v>109</v>
      </c>
      <c r="F29" s="6" t="s">
        <v>63</v>
      </c>
      <c r="G29" s="15" t="s">
        <v>64</v>
      </c>
      <c r="H29" s="15" t="s">
        <v>11</v>
      </c>
      <c r="I29" s="4" t="s">
        <v>111</v>
      </c>
      <c r="J29" s="15">
        <v>7</v>
      </c>
      <c r="K29" s="15">
        <v>3</v>
      </c>
      <c r="L29" s="15">
        <v>3</v>
      </c>
      <c r="M29" s="15">
        <v>4</v>
      </c>
      <c r="N29" s="15">
        <v>4</v>
      </c>
      <c r="O29" s="15">
        <v>5</v>
      </c>
      <c r="P29" s="15">
        <v>5</v>
      </c>
      <c r="Q29" s="15">
        <v>5</v>
      </c>
      <c r="R29" s="15">
        <v>2</v>
      </c>
      <c r="S29" s="15">
        <v>5</v>
      </c>
      <c r="T29" s="15">
        <v>4</v>
      </c>
      <c r="U29" s="20">
        <v>4</v>
      </c>
    </row>
    <row r="30" spans="1:21" ht="15.75" customHeight="1" x14ac:dyDescent="0.25">
      <c r="A30" s="3">
        <v>45828.575346377314</v>
      </c>
      <c r="B3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0" s="14">
        <v>52</v>
      </c>
      <c r="D30" s="4" t="s">
        <v>8</v>
      </c>
      <c r="E30" s="14" t="s">
        <v>108</v>
      </c>
      <c r="F30" s="4" t="s">
        <v>65</v>
      </c>
      <c r="G30" s="14" t="s">
        <v>66</v>
      </c>
      <c r="H30" s="14" t="s">
        <v>11</v>
      </c>
      <c r="I30" s="6" t="s">
        <v>114</v>
      </c>
      <c r="J30" s="14">
        <v>1</v>
      </c>
      <c r="K30" s="14">
        <v>5</v>
      </c>
      <c r="L30" s="14">
        <v>5</v>
      </c>
      <c r="M30" s="14">
        <v>5</v>
      </c>
      <c r="N30" s="14">
        <v>3</v>
      </c>
      <c r="O30" s="14">
        <v>5</v>
      </c>
      <c r="P30" s="14">
        <v>5</v>
      </c>
      <c r="Q30" s="14">
        <v>5</v>
      </c>
      <c r="R30" s="14">
        <v>3</v>
      </c>
      <c r="S30" s="14">
        <v>4</v>
      </c>
      <c r="T30" s="14">
        <v>5</v>
      </c>
      <c r="U30" s="19">
        <v>5</v>
      </c>
    </row>
    <row r="31" spans="1:21" ht="15.75" customHeight="1" x14ac:dyDescent="0.25">
      <c r="A31" s="5">
        <v>45829.403823657412</v>
      </c>
      <c r="B3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1" s="15">
        <v>54</v>
      </c>
      <c r="D31" s="6" t="s">
        <v>8</v>
      </c>
      <c r="E31" s="15" t="s">
        <v>108</v>
      </c>
      <c r="F31" s="6" t="s">
        <v>67</v>
      </c>
      <c r="G31" s="15" t="s">
        <v>68</v>
      </c>
      <c r="H31" s="15" t="s">
        <v>20</v>
      </c>
      <c r="I31" s="6" t="s">
        <v>112</v>
      </c>
      <c r="J31" s="15" t="s">
        <v>69</v>
      </c>
      <c r="K31" s="15">
        <v>4</v>
      </c>
      <c r="L31" s="15">
        <v>4</v>
      </c>
      <c r="M31" s="15">
        <v>5</v>
      </c>
      <c r="N31" s="15">
        <v>5</v>
      </c>
      <c r="O31" s="15">
        <v>5</v>
      </c>
      <c r="P31" s="15">
        <v>3</v>
      </c>
      <c r="Q31" s="15">
        <v>2</v>
      </c>
      <c r="R31" s="15">
        <v>4</v>
      </c>
      <c r="S31" s="15">
        <v>2</v>
      </c>
      <c r="T31" s="15">
        <v>4</v>
      </c>
      <c r="U31" s="20">
        <v>4</v>
      </c>
    </row>
    <row r="32" spans="1:21" ht="15.75" customHeight="1" x14ac:dyDescent="0.25">
      <c r="A32" s="3">
        <v>45829.422735879634</v>
      </c>
      <c r="B3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2" s="14">
        <v>53</v>
      </c>
      <c r="D32" s="4" t="s">
        <v>8</v>
      </c>
      <c r="E32" s="14" t="s">
        <v>108</v>
      </c>
      <c r="F32" s="4" t="s">
        <v>70</v>
      </c>
      <c r="G32" s="14" t="s">
        <v>71</v>
      </c>
      <c r="H32" s="14" t="s">
        <v>20</v>
      </c>
      <c r="I32" s="6" t="s">
        <v>112</v>
      </c>
      <c r="J32" s="14">
        <v>5</v>
      </c>
      <c r="K32" s="14">
        <v>5</v>
      </c>
      <c r="L32" s="14">
        <v>5</v>
      </c>
      <c r="M32" s="14">
        <v>5</v>
      </c>
      <c r="N32" s="14">
        <v>4</v>
      </c>
      <c r="O32" s="14">
        <v>5</v>
      </c>
      <c r="P32" s="14">
        <v>5</v>
      </c>
      <c r="Q32" s="14">
        <v>5</v>
      </c>
      <c r="R32" s="14">
        <v>4</v>
      </c>
      <c r="S32" s="14">
        <v>5</v>
      </c>
      <c r="T32" s="14">
        <v>3</v>
      </c>
      <c r="U32" s="19">
        <v>3</v>
      </c>
    </row>
    <row r="33" spans="1:21" ht="12.5" x14ac:dyDescent="0.25">
      <c r="A33" s="5">
        <v>45829.426283877314</v>
      </c>
      <c r="B3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33" s="15">
        <v>28</v>
      </c>
      <c r="D33" s="6" t="s">
        <v>8</v>
      </c>
      <c r="E33" s="15" t="s">
        <v>110</v>
      </c>
      <c r="F33" s="6" t="s">
        <v>72</v>
      </c>
      <c r="G33" s="15" t="s">
        <v>73</v>
      </c>
      <c r="H33" s="15" t="s">
        <v>20</v>
      </c>
      <c r="I33" s="4" t="s">
        <v>111</v>
      </c>
      <c r="J33" s="15">
        <v>1</v>
      </c>
      <c r="K33" s="15">
        <v>5</v>
      </c>
      <c r="L33" s="15">
        <v>5</v>
      </c>
      <c r="M33" s="15">
        <v>5</v>
      </c>
      <c r="N33" s="15">
        <v>4</v>
      </c>
      <c r="P33" s="15">
        <v>5</v>
      </c>
      <c r="Q33" s="15">
        <v>5</v>
      </c>
      <c r="R33" s="15">
        <v>4</v>
      </c>
      <c r="S33" s="15">
        <v>5</v>
      </c>
      <c r="T33" s="15">
        <v>2</v>
      </c>
      <c r="U33" s="20">
        <v>3</v>
      </c>
    </row>
    <row r="34" spans="1:21" ht="12.5" x14ac:dyDescent="0.25">
      <c r="A34" s="3">
        <v>45829.428494965279</v>
      </c>
      <c r="B3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4" s="14">
        <v>55</v>
      </c>
      <c r="D34" s="4" t="s">
        <v>41</v>
      </c>
      <c r="E34" s="14" t="s">
        <v>108</v>
      </c>
      <c r="F34" s="4" t="s">
        <v>70</v>
      </c>
      <c r="G34" s="14" t="s">
        <v>74</v>
      </c>
      <c r="H34" s="14" t="s">
        <v>11</v>
      </c>
      <c r="I34" s="4" t="s">
        <v>113</v>
      </c>
      <c r="J34" s="14">
        <v>10</v>
      </c>
      <c r="K34" s="14">
        <v>4</v>
      </c>
      <c r="L34" s="14">
        <v>5</v>
      </c>
      <c r="M34" s="14">
        <v>5</v>
      </c>
      <c r="N34" s="14">
        <v>4</v>
      </c>
      <c r="O34" s="14">
        <v>4</v>
      </c>
      <c r="P34" s="14">
        <v>3</v>
      </c>
      <c r="Q34" s="14">
        <v>4</v>
      </c>
      <c r="R34" s="14">
        <v>2</v>
      </c>
      <c r="S34" s="14">
        <v>5</v>
      </c>
      <c r="T34" s="14">
        <v>5</v>
      </c>
      <c r="U34" s="19">
        <v>4</v>
      </c>
    </row>
    <row r="35" spans="1:21" ht="12.5" x14ac:dyDescent="0.25">
      <c r="A35" s="5">
        <v>45829.430355173608</v>
      </c>
      <c r="B3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5" s="15">
        <v>45</v>
      </c>
      <c r="D35" s="6" t="s">
        <v>8</v>
      </c>
      <c r="E35" s="15" t="s">
        <v>108</v>
      </c>
      <c r="F35" s="6" t="s">
        <v>57</v>
      </c>
      <c r="G35" s="15" t="s">
        <v>75</v>
      </c>
      <c r="H35" s="15" t="s">
        <v>20</v>
      </c>
      <c r="I35" s="4" t="s">
        <v>113</v>
      </c>
      <c r="J35" s="15">
        <v>5</v>
      </c>
      <c r="K35" s="15">
        <v>5</v>
      </c>
      <c r="L35" s="15">
        <v>5</v>
      </c>
      <c r="M35" s="15">
        <v>5</v>
      </c>
      <c r="N35" s="15">
        <v>4</v>
      </c>
      <c r="O35" s="15">
        <v>5</v>
      </c>
      <c r="P35" s="15">
        <v>5</v>
      </c>
      <c r="Q35" s="15">
        <v>5</v>
      </c>
      <c r="R35" s="15">
        <v>3</v>
      </c>
      <c r="S35" s="15">
        <v>5</v>
      </c>
      <c r="T35" s="15">
        <v>3</v>
      </c>
      <c r="U35" s="20">
        <v>4</v>
      </c>
    </row>
    <row r="36" spans="1:21" ht="12.5" x14ac:dyDescent="0.25">
      <c r="A36" s="3">
        <v>45829.969088055557</v>
      </c>
      <c r="B3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6" s="14">
        <v>54</v>
      </c>
      <c r="D36" s="4" t="s">
        <v>8</v>
      </c>
      <c r="E36" s="14" t="s">
        <v>108</v>
      </c>
      <c r="F36" s="4" t="s">
        <v>76</v>
      </c>
      <c r="G36" s="14" t="s">
        <v>77</v>
      </c>
      <c r="H36" s="14" t="s">
        <v>17</v>
      </c>
      <c r="I36" s="6" t="s">
        <v>112</v>
      </c>
      <c r="J36" s="14">
        <v>2</v>
      </c>
      <c r="K36" s="14">
        <v>4</v>
      </c>
      <c r="L36" s="14">
        <v>4</v>
      </c>
      <c r="M36" s="14">
        <v>4</v>
      </c>
      <c r="N36" s="14">
        <v>5</v>
      </c>
      <c r="O36" s="14">
        <v>5</v>
      </c>
      <c r="P36" s="14">
        <v>4</v>
      </c>
      <c r="Q36" s="14">
        <v>4</v>
      </c>
      <c r="R36" s="14">
        <v>3</v>
      </c>
      <c r="S36" s="14">
        <v>5</v>
      </c>
      <c r="T36" s="14">
        <v>4</v>
      </c>
      <c r="U36" s="19">
        <v>4</v>
      </c>
    </row>
    <row r="37" spans="1:21" ht="12.5" x14ac:dyDescent="0.25">
      <c r="A37" s="5">
        <v>45830.407184641204</v>
      </c>
      <c r="B3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7" s="15">
        <v>57</v>
      </c>
      <c r="D37" s="6" t="s">
        <v>8</v>
      </c>
      <c r="E37" s="15" t="s">
        <v>109</v>
      </c>
      <c r="F37" s="6" t="s">
        <v>18</v>
      </c>
      <c r="G37" s="15" t="s">
        <v>78</v>
      </c>
      <c r="H37" s="15" t="s">
        <v>17</v>
      </c>
      <c r="I37" s="6" t="s">
        <v>112</v>
      </c>
      <c r="J37" s="15">
        <v>3</v>
      </c>
      <c r="K37" s="15">
        <v>3</v>
      </c>
      <c r="L37" s="15">
        <v>4</v>
      </c>
      <c r="M37" s="15">
        <v>4</v>
      </c>
      <c r="N37" s="15">
        <v>2</v>
      </c>
      <c r="O37" s="15">
        <v>4</v>
      </c>
      <c r="P37" s="15">
        <v>4</v>
      </c>
      <c r="Q37" s="15">
        <v>4</v>
      </c>
      <c r="R37" s="15">
        <v>2</v>
      </c>
      <c r="S37" s="15">
        <v>3</v>
      </c>
      <c r="T37" s="15">
        <v>4</v>
      </c>
      <c r="U37" s="20">
        <v>4</v>
      </c>
    </row>
    <row r="38" spans="1:21" ht="12.5" x14ac:dyDescent="0.25">
      <c r="A38" s="3">
        <v>45830.421361805551</v>
      </c>
      <c r="B3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8" s="14">
        <v>58</v>
      </c>
      <c r="D38" s="4" t="s">
        <v>8</v>
      </c>
      <c r="E38" s="14" t="s">
        <v>109</v>
      </c>
      <c r="F38" s="4" t="s">
        <v>15</v>
      </c>
      <c r="G38" s="14" t="s">
        <v>79</v>
      </c>
      <c r="H38" s="14" t="s">
        <v>20</v>
      </c>
      <c r="I38" s="4" t="s">
        <v>113</v>
      </c>
      <c r="J38" s="14">
        <v>35</v>
      </c>
      <c r="K38" s="14">
        <v>3</v>
      </c>
      <c r="L38" s="14">
        <v>5</v>
      </c>
      <c r="M38" s="14">
        <v>4</v>
      </c>
      <c r="N38" s="14">
        <v>3</v>
      </c>
      <c r="O38" s="14">
        <v>5</v>
      </c>
      <c r="P38" s="14">
        <v>4</v>
      </c>
      <c r="Q38" s="14">
        <v>4</v>
      </c>
      <c r="R38" s="14">
        <v>5</v>
      </c>
      <c r="S38" s="14">
        <v>5</v>
      </c>
      <c r="T38" s="14">
        <v>4</v>
      </c>
      <c r="U38" s="19">
        <v>4</v>
      </c>
    </row>
    <row r="39" spans="1:21" ht="12.5" x14ac:dyDescent="0.25">
      <c r="A39" s="5">
        <v>45830.423670324075</v>
      </c>
      <c r="B3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9" s="15">
        <v>56</v>
      </c>
      <c r="D39" s="6" t="s">
        <v>8</v>
      </c>
      <c r="E39" s="15" t="s">
        <v>109</v>
      </c>
      <c r="F39" s="6" t="s">
        <v>18</v>
      </c>
      <c r="G39" s="15" t="s">
        <v>80</v>
      </c>
      <c r="H39" s="15" t="s">
        <v>11</v>
      </c>
      <c r="I39" s="4" t="s">
        <v>111</v>
      </c>
      <c r="J39" s="15">
        <v>20</v>
      </c>
      <c r="K39" s="15">
        <v>4</v>
      </c>
      <c r="L39" s="15">
        <v>3</v>
      </c>
      <c r="M39" s="15">
        <v>4</v>
      </c>
      <c r="N39" s="15">
        <v>4</v>
      </c>
      <c r="O39" s="15">
        <v>4</v>
      </c>
      <c r="P39" s="15">
        <v>3</v>
      </c>
      <c r="Q39" s="15">
        <v>4</v>
      </c>
      <c r="R39" s="15">
        <v>4</v>
      </c>
      <c r="S39" s="15">
        <v>3</v>
      </c>
      <c r="T39" s="15">
        <v>4</v>
      </c>
      <c r="U39" s="20">
        <v>5</v>
      </c>
    </row>
    <row r="40" spans="1:21" ht="12.5" x14ac:dyDescent="0.25">
      <c r="A40" s="3">
        <v>45830.428723206016</v>
      </c>
      <c r="B4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0" s="14">
        <v>62</v>
      </c>
      <c r="D40" s="4" t="s">
        <v>41</v>
      </c>
      <c r="E40" s="14" t="s">
        <v>108</v>
      </c>
      <c r="F40" s="4" t="s">
        <v>49</v>
      </c>
      <c r="G40" s="14" t="s">
        <v>28</v>
      </c>
      <c r="H40" s="14" t="s">
        <v>20</v>
      </c>
      <c r="I40" s="6" t="s">
        <v>114</v>
      </c>
      <c r="J40" s="14">
        <v>0</v>
      </c>
      <c r="K40" s="14">
        <v>4</v>
      </c>
      <c r="L40" s="14">
        <v>5</v>
      </c>
      <c r="M40" s="14">
        <v>4</v>
      </c>
      <c r="N40" s="14">
        <v>5</v>
      </c>
      <c r="O40" s="14">
        <v>5</v>
      </c>
      <c r="P40" s="14">
        <v>5</v>
      </c>
      <c r="Q40" s="14">
        <v>5</v>
      </c>
      <c r="R40" s="14">
        <v>4</v>
      </c>
      <c r="S40" s="14">
        <v>5</v>
      </c>
      <c r="T40" s="14">
        <v>2</v>
      </c>
      <c r="U40" s="19">
        <v>5</v>
      </c>
    </row>
    <row r="41" spans="1:21" ht="12.5" x14ac:dyDescent="0.25">
      <c r="A41" s="5">
        <v>45830.434751643523</v>
      </c>
      <c r="B4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1" s="15">
        <v>61</v>
      </c>
      <c r="D41" s="6" t="s">
        <v>8</v>
      </c>
      <c r="E41" s="15" t="s">
        <v>108</v>
      </c>
      <c r="F41" s="6" t="s">
        <v>81</v>
      </c>
      <c r="G41" s="15" t="s">
        <v>28</v>
      </c>
      <c r="H41" s="15" t="s">
        <v>20</v>
      </c>
      <c r="I41" s="4" t="s">
        <v>111</v>
      </c>
      <c r="J41" s="15">
        <v>3</v>
      </c>
      <c r="K41" s="15">
        <v>5</v>
      </c>
      <c r="L41" s="15">
        <v>5</v>
      </c>
      <c r="M41" s="15">
        <v>2</v>
      </c>
      <c r="N41" s="15">
        <v>4</v>
      </c>
      <c r="O41" s="15">
        <v>5</v>
      </c>
      <c r="P41" s="15">
        <v>5</v>
      </c>
      <c r="Q41" s="15">
        <v>5</v>
      </c>
      <c r="R41" s="15">
        <v>3</v>
      </c>
      <c r="S41" s="15">
        <v>4</v>
      </c>
      <c r="T41" s="15">
        <v>2</v>
      </c>
      <c r="U41" s="20">
        <v>2</v>
      </c>
    </row>
    <row r="42" spans="1:21" ht="12.5" x14ac:dyDescent="0.25">
      <c r="A42" s="3">
        <v>45830.442548831023</v>
      </c>
      <c r="B4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2" s="14">
        <v>54</v>
      </c>
      <c r="D42" s="4" t="s">
        <v>41</v>
      </c>
      <c r="E42" s="14" t="s">
        <v>110</v>
      </c>
      <c r="F42" s="4" t="s">
        <v>51</v>
      </c>
      <c r="G42" s="14" t="s">
        <v>82</v>
      </c>
      <c r="H42" s="14" t="s">
        <v>11</v>
      </c>
      <c r="I42" s="6" t="s">
        <v>112</v>
      </c>
      <c r="J42" s="14" t="s">
        <v>83</v>
      </c>
      <c r="K42" s="14">
        <v>4</v>
      </c>
      <c r="L42" s="14">
        <v>5</v>
      </c>
      <c r="M42" s="14">
        <v>3</v>
      </c>
      <c r="N42" s="14">
        <v>4</v>
      </c>
      <c r="O42" s="14">
        <v>3</v>
      </c>
      <c r="P42" s="14">
        <v>3</v>
      </c>
      <c r="Q42" s="14">
        <v>5</v>
      </c>
      <c r="R42" s="14">
        <v>3</v>
      </c>
      <c r="S42" s="14">
        <v>4</v>
      </c>
      <c r="T42" s="14">
        <v>4</v>
      </c>
      <c r="U42" s="19">
        <v>4</v>
      </c>
    </row>
    <row r="43" spans="1:21" ht="12.5" x14ac:dyDescent="0.25">
      <c r="A43" s="5">
        <v>45830.476283599535</v>
      </c>
      <c r="B4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3" s="15">
        <v>60</v>
      </c>
      <c r="D43" s="6" t="s">
        <v>41</v>
      </c>
      <c r="E43" s="15" t="s">
        <v>108</v>
      </c>
      <c r="F43" s="6" t="s">
        <v>84</v>
      </c>
      <c r="G43" s="15" t="s">
        <v>28</v>
      </c>
      <c r="H43" s="15" t="s">
        <v>11</v>
      </c>
      <c r="I43" s="6" t="s">
        <v>114</v>
      </c>
      <c r="J43" s="15">
        <v>1</v>
      </c>
      <c r="K43" s="15">
        <v>2</v>
      </c>
      <c r="L43" s="15">
        <v>4</v>
      </c>
      <c r="M43" s="15">
        <v>4</v>
      </c>
      <c r="N43" s="15">
        <v>4</v>
      </c>
      <c r="O43" s="15">
        <v>4</v>
      </c>
      <c r="P43" s="15">
        <v>3</v>
      </c>
      <c r="Q43" s="15">
        <v>2</v>
      </c>
      <c r="R43" s="15">
        <v>2</v>
      </c>
      <c r="S43" s="15">
        <v>4</v>
      </c>
      <c r="T43" s="15">
        <v>4</v>
      </c>
      <c r="U43" s="20">
        <v>4</v>
      </c>
    </row>
    <row r="44" spans="1:21" ht="12.5" x14ac:dyDescent="0.25">
      <c r="A44" s="3">
        <v>45830.527453553237</v>
      </c>
      <c r="B4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4" s="14">
        <v>52</v>
      </c>
      <c r="D44" s="4" t="s">
        <v>8</v>
      </c>
      <c r="E44" s="14" t="s">
        <v>108</v>
      </c>
      <c r="F44" s="4" t="s">
        <v>85</v>
      </c>
      <c r="G44" s="14" t="s">
        <v>86</v>
      </c>
      <c r="H44" s="14" t="s">
        <v>20</v>
      </c>
      <c r="I44" s="6" t="s">
        <v>114</v>
      </c>
      <c r="J44" s="14">
        <v>1</v>
      </c>
      <c r="K44" s="14">
        <v>4</v>
      </c>
      <c r="L44" s="14">
        <v>5</v>
      </c>
      <c r="M44" s="14">
        <v>4</v>
      </c>
      <c r="N44" s="14">
        <v>2</v>
      </c>
      <c r="O44" s="14">
        <v>5</v>
      </c>
      <c r="P44" s="14">
        <v>3</v>
      </c>
      <c r="Q44" s="14">
        <v>5</v>
      </c>
      <c r="R44" s="14">
        <v>4</v>
      </c>
      <c r="S44" s="14">
        <v>5</v>
      </c>
      <c r="T44" s="14">
        <v>4</v>
      </c>
      <c r="U44" s="19">
        <v>5</v>
      </c>
    </row>
    <row r="45" spans="1:21" ht="12.5" x14ac:dyDescent="0.25">
      <c r="A45" s="5">
        <v>45830.551162326388</v>
      </c>
      <c r="B4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5" s="15">
        <v>60</v>
      </c>
      <c r="D45" s="6" t="s">
        <v>8</v>
      </c>
      <c r="E45" s="15" t="s">
        <v>109</v>
      </c>
      <c r="F45" s="6" t="s">
        <v>18</v>
      </c>
      <c r="G45" s="15" t="s">
        <v>28</v>
      </c>
      <c r="H45" s="15" t="s">
        <v>20</v>
      </c>
      <c r="I45" s="6" t="s">
        <v>114</v>
      </c>
      <c r="J45" s="15">
        <v>1</v>
      </c>
      <c r="K45" s="15">
        <v>3</v>
      </c>
      <c r="L45" s="15">
        <v>3</v>
      </c>
      <c r="M45" s="15">
        <v>3</v>
      </c>
      <c r="N45" s="15">
        <v>3</v>
      </c>
      <c r="O45" s="15">
        <v>4</v>
      </c>
      <c r="P45" s="15">
        <v>4</v>
      </c>
      <c r="Q45" s="15">
        <v>5</v>
      </c>
      <c r="R45" s="15">
        <v>5</v>
      </c>
      <c r="S45" s="15">
        <v>5</v>
      </c>
      <c r="T45" s="15">
        <v>5</v>
      </c>
      <c r="U45" s="20">
        <v>3</v>
      </c>
    </row>
    <row r="46" spans="1:21" ht="12.5" x14ac:dyDescent="0.25">
      <c r="A46" s="3">
        <v>45830.567005914352</v>
      </c>
      <c r="B4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6" s="14">
        <v>56</v>
      </c>
      <c r="D46" s="4" t="s">
        <v>8</v>
      </c>
      <c r="E46" s="14" t="s">
        <v>110</v>
      </c>
      <c r="F46" s="4" t="s">
        <v>87</v>
      </c>
      <c r="G46" s="14" t="s">
        <v>88</v>
      </c>
      <c r="H46" s="14" t="s">
        <v>11</v>
      </c>
      <c r="I46" s="4" t="s">
        <v>111</v>
      </c>
      <c r="J46" s="18" t="s">
        <v>89</v>
      </c>
      <c r="K46" s="14">
        <v>5</v>
      </c>
      <c r="L46" s="14">
        <v>5</v>
      </c>
      <c r="M46" s="14">
        <v>5</v>
      </c>
      <c r="N46" s="14">
        <v>4</v>
      </c>
      <c r="O46" s="14">
        <v>5</v>
      </c>
      <c r="P46" s="14">
        <v>5</v>
      </c>
      <c r="Q46" s="14">
        <v>5</v>
      </c>
      <c r="R46" s="14">
        <v>5</v>
      </c>
      <c r="S46" s="14">
        <v>5</v>
      </c>
      <c r="T46" s="14">
        <v>4</v>
      </c>
      <c r="U46" s="19">
        <v>4</v>
      </c>
    </row>
    <row r="47" spans="1:21" ht="12.5" x14ac:dyDescent="0.25">
      <c r="A47" s="5">
        <v>45830.655432002313</v>
      </c>
      <c r="B4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7" s="15">
        <v>52</v>
      </c>
      <c r="D47" s="6" t="s">
        <v>8</v>
      </c>
      <c r="E47" s="15" t="s">
        <v>108</v>
      </c>
      <c r="F47" s="6" t="s">
        <v>90</v>
      </c>
      <c r="G47" s="15" t="s">
        <v>91</v>
      </c>
      <c r="H47" s="15" t="s">
        <v>20</v>
      </c>
      <c r="I47" s="6" t="s">
        <v>112</v>
      </c>
      <c r="J47" s="15">
        <v>2</v>
      </c>
      <c r="K47" s="15">
        <v>3</v>
      </c>
      <c r="L47" s="15">
        <v>5</v>
      </c>
      <c r="M47" s="15">
        <v>5</v>
      </c>
      <c r="N47" s="15">
        <v>4</v>
      </c>
      <c r="O47" s="15">
        <v>5</v>
      </c>
      <c r="P47" s="15">
        <v>4</v>
      </c>
      <c r="Q47" s="15">
        <v>5</v>
      </c>
      <c r="R47" s="15">
        <v>3</v>
      </c>
      <c r="S47" s="15">
        <v>4</v>
      </c>
      <c r="T47" s="15">
        <v>2</v>
      </c>
      <c r="U47" s="20">
        <v>4</v>
      </c>
    </row>
    <row r="48" spans="1:21" ht="12.5" x14ac:dyDescent="0.25">
      <c r="A48" s="3">
        <v>45830.671742673614</v>
      </c>
      <c r="B4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48" s="14">
        <v>76</v>
      </c>
      <c r="D48" s="4" t="s">
        <v>8</v>
      </c>
      <c r="E48" s="14" t="s">
        <v>43</v>
      </c>
      <c r="F48" s="4" t="s">
        <v>92</v>
      </c>
      <c r="G48" s="14" t="s">
        <v>93</v>
      </c>
      <c r="H48" s="14" t="s">
        <v>20</v>
      </c>
      <c r="I48" s="6" t="s">
        <v>114</v>
      </c>
      <c r="J48" s="14" t="s">
        <v>83</v>
      </c>
      <c r="K48" s="14">
        <v>5</v>
      </c>
      <c r="L48" s="14">
        <v>5</v>
      </c>
      <c r="M48" s="14">
        <v>5</v>
      </c>
      <c r="N48" s="14">
        <v>2</v>
      </c>
      <c r="O48" s="14">
        <v>5</v>
      </c>
      <c r="P48" s="14">
        <v>4</v>
      </c>
      <c r="Q48" s="14">
        <v>5</v>
      </c>
      <c r="R48" s="14">
        <v>5</v>
      </c>
      <c r="S48" s="14">
        <v>3</v>
      </c>
      <c r="T48" s="14">
        <v>5</v>
      </c>
      <c r="U48" s="19">
        <v>3</v>
      </c>
    </row>
    <row r="49" spans="1:21" ht="12.5" x14ac:dyDescent="0.25">
      <c r="A49" s="5">
        <v>45830.712882708336</v>
      </c>
      <c r="B4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9" s="15">
        <v>42</v>
      </c>
      <c r="D49" s="6" t="s">
        <v>41</v>
      </c>
      <c r="E49" s="15" t="s">
        <v>108</v>
      </c>
      <c r="F49" s="6" t="s">
        <v>94</v>
      </c>
      <c r="G49" s="15" t="s">
        <v>95</v>
      </c>
      <c r="H49" s="15" t="s">
        <v>11</v>
      </c>
      <c r="I49" s="6" t="s">
        <v>112</v>
      </c>
      <c r="J49" s="15" t="s">
        <v>96</v>
      </c>
      <c r="K49" s="15">
        <v>5</v>
      </c>
      <c r="L49" s="15">
        <v>4</v>
      </c>
      <c r="M49" s="15">
        <v>5</v>
      </c>
      <c r="N49" s="15">
        <v>1</v>
      </c>
      <c r="O49" s="15">
        <v>5</v>
      </c>
      <c r="P49" s="15">
        <v>4</v>
      </c>
      <c r="Q49" s="15">
        <v>4</v>
      </c>
      <c r="R49" s="15">
        <v>3</v>
      </c>
      <c r="S49" s="15">
        <v>5</v>
      </c>
      <c r="T49" s="15">
        <v>3</v>
      </c>
      <c r="U49" s="20">
        <v>4</v>
      </c>
    </row>
    <row r="50" spans="1:21" ht="12.5" x14ac:dyDescent="0.25">
      <c r="A50" s="3">
        <v>45830.742125983801</v>
      </c>
      <c r="B5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50" s="14">
        <v>67</v>
      </c>
      <c r="D50" s="4" t="s">
        <v>8</v>
      </c>
      <c r="E50" s="14" t="s">
        <v>110</v>
      </c>
      <c r="F50" s="4" t="s">
        <v>97</v>
      </c>
      <c r="G50" s="14" t="s">
        <v>98</v>
      </c>
      <c r="H50" s="14" t="s">
        <v>11</v>
      </c>
      <c r="I50" s="6" t="s">
        <v>112</v>
      </c>
      <c r="J50" s="14">
        <v>1</v>
      </c>
      <c r="K50" s="14">
        <v>4</v>
      </c>
      <c r="L50" s="14">
        <v>5</v>
      </c>
      <c r="M50" s="14">
        <v>4</v>
      </c>
      <c r="N50" s="14">
        <v>2</v>
      </c>
      <c r="O50" s="14">
        <v>5</v>
      </c>
      <c r="P50" s="14">
        <v>4</v>
      </c>
      <c r="Q50" s="14">
        <v>5</v>
      </c>
      <c r="R50" s="14">
        <v>4</v>
      </c>
      <c r="S50" s="14">
        <v>4</v>
      </c>
      <c r="T50" s="14">
        <v>2</v>
      </c>
      <c r="U50" s="19">
        <v>2</v>
      </c>
    </row>
    <row r="51" spans="1:21" ht="12.5" x14ac:dyDescent="0.25">
      <c r="A51" s="5">
        <v>45830.783943344912</v>
      </c>
      <c r="B5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1" s="15">
        <v>57</v>
      </c>
      <c r="D51" s="6" t="s">
        <v>41</v>
      </c>
      <c r="E51" s="15" t="s">
        <v>109</v>
      </c>
      <c r="F51" s="6" t="s">
        <v>18</v>
      </c>
      <c r="G51" s="15" t="s">
        <v>99</v>
      </c>
      <c r="H51" s="15" t="s">
        <v>11</v>
      </c>
      <c r="I51" s="4" t="s">
        <v>111</v>
      </c>
      <c r="J51" s="15">
        <v>6</v>
      </c>
      <c r="K51" s="15">
        <v>4</v>
      </c>
      <c r="L51" s="15">
        <v>5</v>
      </c>
      <c r="M51" s="15">
        <v>4</v>
      </c>
      <c r="N51" s="15">
        <v>3</v>
      </c>
      <c r="O51" s="15">
        <v>4</v>
      </c>
      <c r="P51" s="15">
        <v>2</v>
      </c>
      <c r="Q51" s="15">
        <v>4</v>
      </c>
      <c r="R51" s="15">
        <v>4</v>
      </c>
      <c r="S51" s="15">
        <v>4</v>
      </c>
      <c r="T51" s="15">
        <v>4</v>
      </c>
      <c r="U51" s="20">
        <v>4</v>
      </c>
    </row>
    <row r="52" spans="1:21" ht="12.5" x14ac:dyDescent="0.25">
      <c r="A52" s="3">
        <v>45830.909531030091</v>
      </c>
      <c r="B5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2" s="14">
        <v>43</v>
      </c>
      <c r="D52" s="4" t="s">
        <v>8</v>
      </c>
      <c r="E52" s="14" t="s">
        <v>108</v>
      </c>
      <c r="F52" s="4" t="s">
        <v>100</v>
      </c>
      <c r="G52" s="14" t="s">
        <v>33</v>
      </c>
      <c r="H52" s="14" t="s">
        <v>11</v>
      </c>
      <c r="I52" s="4" t="s">
        <v>111</v>
      </c>
      <c r="J52" s="14">
        <v>2</v>
      </c>
      <c r="K52" s="14">
        <v>4</v>
      </c>
      <c r="L52" s="14">
        <v>4</v>
      </c>
      <c r="M52" s="14">
        <v>5</v>
      </c>
      <c r="N52" s="14">
        <v>5</v>
      </c>
      <c r="O52" s="14">
        <v>3</v>
      </c>
      <c r="P52" s="14">
        <v>3</v>
      </c>
      <c r="Q52" s="14">
        <v>4</v>
      </c>
      <c r="R52" s="14">
        <v>2</v>
      </c>
      <c r="S52" s="14">
        <v>3</v>
      </c>
      <c r="T52" s="14">
        <v>2</v>
      </c>
      <c r="U52" s="19">
        <v>4</v>
      </c>
    </row>
    <row r="53" spans="1:21" ht="12.5" x14ac:dyDescent="0.25">
      <c r="A53" s="5">
        <v>45832.988460266206</v>
      </c>
      <c r="B5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3" s="15">
        <v>53</v>
      </c>
      <c r="D53" s="6" t="s">
        <v>41</v>
      </c>
      <c r="E53" s="15" t="s">
        <v>109</v>
      </c>
      <c r="F53" s="6" t="s">
        <v>18</v>
      </c>
      <c r="G53" s="15" t="s">
        <v>101</v>
      </c>
      <c r="H53" s="15" t="s">
        <v>11</v>
      </c>
      <c r="I53" s="6" t="s">
        <v>114</v>
      </c>
      <c r="J53" s="15">
        <v>1</v>
      </c>
      <c r="K53" s="15">
        <v>3</v>
      </c>
      <c r="L53" s="15">
        <v>5</v>
      </c>
      <c r="M53" s="15">
        <v>5</v>
      </c>
      <c r="N53" s="15">
        <v>4</v>
      </c>
      <c r="O53" s="15">
        <v>5</v>
      </c>
      <c r="P53" s="15">
        <v>4</v>
      </c>
      <c r="Q53" s="15">
        <v>5</v>
      </c>
      <c r="R53" s="15">
        <v>5</v>
      </c>
      <c r="S53" s="15">
        <v>5</v>
      </c>
      <c r="T53" s="15">
        <v>3</v>
      </c>
      <c r="U53" s="20">
        <v>4</v>
      </c>
    </row>
    <row r="54" spans="1:21" ht="12.5" x14ac:dyDescent="0.25">
      <c r="A54" s="3">
        <v>45835.362927546295</v>
      </c>
      <c r="B5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4" s="14">
        <v>50</v>
      </c>
      <c r="D54" s="4" t="s">
        <v>8</v>
      </c>
      <c r="E54" s="14" t="s">
        <v>108</v>
      </c>
      <c r="F54" s="4" t="s">
        <v>21</v>
      </c>
      <c r="G54" s="14" t="s">
        <v>28</v>
      </c>
      <c r="H54" s="14" t="s">
        <v>17</v>
      </c>
      <c r="I54" s="6" t="s">
        <v>114</v>
      </c>
      <c r="J54" s="14">
        <v>2</v>
      </c>
      <c r="L54" s="14">
        <v>5</v>
      </c>
      <c r="M54" s="14">
        <v>5</v>
      </c>
      <c r="N54" s="14">
        <v>3</v>
      </c>
      <c r="O54" s="14">
        <v>5</v>
      </c>
      <c r="P54" s="14">
        <v>3</v>
      </c>
      <c r="Q54" s="14">
        <v>5</v>
      </c>
      <c r="R54" s="14">
        <v>3</v>
      </c>
      <c r="S54" s="14">
        <v>5</v>
      </c>
      <c r="T54" s="14">
        <v>5</v>
      </c>
      <c r="U54" s="19">
        <v>5</v>
      </c>
    </row>
    <row r="55" spans="1:21" ht="12.5" x14ac:dyDescent="0.25">
      <c r="A55" s="5">
        <v>45836.643357824076</v>
      </c>
      <c r="B5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5" s="15">
        <v>60</v>
      </c>
      <c r="D55" s="6" t="s">
        <v>41</v>
      </c>
      <c r="E55" s="15" t="s">
        <v>110</v>
      </c>
      <c r="F55" s="6" t="s">
        <v>51</v>
      </c>
      <c r="G55" s="15" t="s">
        <v>102</v>
      </c>
      <c r="H55" s="15" t="s">
        <v>20</v>
      </c>
      <c r="I55" s="6" t="s">
        <v>112</v>
      </c>
      <c r="J55" s="15" t="s">
        <v>83</v>
      </c>
      <c r="K55" s="15">
        <v>3</v>
      </c>
      <c r="L55" s="15">
        <v>5</v>
      </c>
      <c r="M55" s="15">
        <v>3</v>
      </c>
      <c r="N55" s="15">
        <v>3</v>
      </c>
      <c r="O55" s="15">
        <v>5</v>
      </c>
      <c r="P55" s="15">
        <v>3</v>
      </c>
      <c r="Q55" s="15">
        <v>3</v>
      </c>
      <c r="R55" s="15">
        <v>4</v>
      </c>
      <c r="S55" s="15">
        <v>1</v>
      </c>
      <c r="T55" s="15">
        <v>4</v>
      </c>
      <c r="U55" s="20">
        <v>4</v>
      </c>
    </row>
    <row r="56" spans="1:21" ht="12.5" x14ac:dyDescent="0.25">
      <c r="A56" s="3">
        <v>45837.327635891204</v>
      </c>
      <c r="B5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6" s="14">
        <v>51</v>
      </c>
      <c r="D56" s="4" t="s">
        <v>8</v>
      </c>
      <c r="E56" s="14" t="s">
        <v>109</v>
      </c>
      <c r="F56" s="4" t="s">
        <v>18</v>
      </c>
      <c r="G56" s="14" t="s">
        <v>27</v>
      </c>
      <c r="H56" s="14" t="s">
        <v>17</v>
      </c>
      <c r="I56" s="6" t="s">
        <v>112</v>
      </c>
      <c r="J56" s="14">
        <v>3</v>
      </c>
      <c r="K56" s="14">
        <v>5</v>
      </c>
      <c r="L56" s="14">
        <v>5</v>
      </c>
      <c r="M56" s="14">
        <v>4</v>
      </c>
      <c r="N56" s="14">
        <v>3</v>
      </c>
      <c r="O56" s="14">
        <v>5</v>
      </c>
      <c r="P56" s="14">
        <v>5</v>
      </c>
      <c r="Q56" s="14">
        <v>5</v>
      </c>
      <c r="R56" s="14">
        <v>5</v>
      </c>
      <c r="S56" s="14">
        <v>5</v>
      </c>
      <c r="T56" s="14">
        <v>4</v>
      </c>
      <c r="U56" s="19">
        <v>3</v>
      </c>
    </row>
    <row r="57" spans="1:21" ht="12.5" x14ac:dyDescent="0.25">
      <c r="A57" s="5">
        <v>45839.60446018519</v>
      </c>
      <c r="B5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57" s="15">
        <v>34</v>
      </c>
      <c r="D57" s="6" t="s">
        <v>41</v>
      </c>
      <c r="E57" s="15" t="s">
        <v>110</v>
      </c>
      <c r="F57" s="6" t="s">
        <v>87</v>
      </c>
      <c r="G57" s="15" t="s">
        <v>103</v>
      </c>
      <c r="H57" s="15" t="s">
        <v>11</v>
      </c>
      <c r="I57" s="4" t="s">
        <v>111</v>
      </c>
      <c r="J57" s="15">
        <v>3</v>
      </c>
      <c r="K57" s="15">
        <v>5</v>
      </c>
      <c r="L57" s="15">
        <v>5</v>
      </c>
      <c r="M57" s="15">
        <v>5</v>
      </c>
      <c r="N57" s="15">
        <v>5</v>
      </c>
      <c r="O57" s="15">
        <v>5</v>
      </c>
      <c r="P57" s="15">
        <v>5</v>
      </c>
      <c r="Q57" s="15">
        <v>5</v>
      </c>
      <c r="R57" s="15">
        <v>5</v>
      </c>
      <c r="S57" s="15">
        <v>5</v>
      </c>
      <c r="T57" s="15">
        <v>5</v>
      </c>
      <c r="U57" s="20">
        <v>5</v>
      </c>
    </row>
    <row r="58" spans="1:21" ht="12.5" x14ac:dyDescent="0.25">
      <c r="A58" s="3">
        <v>45840.647138969907</v>
      </c>
      <c r="B5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8" s="14">
        <v>46</v>
      </c>
      <c r="D58" s="4" t="s">
        <v>41</v>
      </c>
      <c r="E58" s="14" t="s">
        <v>108</v>
      </c>
      <c r="F58" s="4" t="s">
        <v>104</v>
      </c>
      <c r="G58" s="14" t="s">
        <v>105</v>
      </c>
      <c r="H58" s="14" t="s">
        <v>11</v>
      </c>
      <c r="I58" s="6" t="s">
        <v>112</v>
      </c>
      <c r="J58" s="14">
        <v>9</v>
      </c>
      <c r="K58" s="14">
        <v>4</v>
      </c>
      <c r="L58" s="14">
        <v>5</v>
      </c>
      <c r="M58" s="14">
        <v>5</v>
      </c>
      <c r="N58" s="14">
        <v>3</v>
      </c>
      <c r="O58" s="14">
        <v>5</v>
      </c>
      <c r="P58" s="14">
        <v>4</v>
      </c>
      <c r="Q58" s="14">
        <v>5</v>
      </c>
      <c r="R58" s="14">
        <v>4</v>
      </c>
      <c r="S58" s="14">
        <v>5</v>
      </c>
      <c r="T58" s="14">
        <v>3</v>
      </c>
      <c r="U58" s="19">
        <v>4</v>
      </c>
    </row>
    <row r="59" spans="1:21" ht="12.5" x14ac:dyDescent="0.25">
      <c r="A59" s="7">
        <v>45854.699204201388</v>
      </c>
      <c r="B59" s="12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9" s="16">
        <v>49</v>
      </c>
      <c r="D59" s="8" t="s">
        <v>8</v>
      </c>
      <c r="E59" s="16" t="s">
        <v>109</v>
      </c>
      <c r="F59" s="8" t="s">
        <v>26</v>
      </c>
      <c r="G59" s="16" t="s">
        <v>22</v>
      </c>
      <c r="H59" s="16" t="s">
        <v>17</v>
      </c>
      <c r="I59" s="6" t="s">
        <v>114</v>
      </c>
      <c r="J59" s="16">
        <v>2</v>
      </c>
      <c r="K59" s="16">
        <v>2</v>
      </c>
      <c r="L59" s="16">
        <v>4</v>
      </c>
      <c r="M59" s="16">
        <v>4</v>
      </c>
      <c r="N59" s="16">
        <v>3</v>
      </c>
      <c r="O59" s="16">
        <v>4</v>
      </c>
      <c r="P59" s="16">
        <v>4</v>
      </c>
      <c r="Q59" s="16">
        <v>3</v>
      </c>
      <c r="R59" s="16">
        <v>5</v>
      </c>
      <c r="S59" s="16">
        <v>4</v>
      </c>
      <c r="T59" s="16">
        <v>4</v>
      </c>
      <c r="U59" s="21">
        <v>4</v>
      </c>
    </row>
    <row r="60" spans="1:21" ht="15.75" customHeight="1" thickBot="1" x14ac:dyDescent="0.3"/>
    <row r="61" spans="1:21" ht="15.75" customHeight="1" x14ac:dyDescent="0.3">
      <c r="A61" s="22"/>
      <c r="J61" s="36" t="s">
        <v>115</v>
      </c>
      <c r="K61" s="32">
        <f>COUNT(Form_Responses1[Statement 1])</f>
        <v>57</v>
      </c>
      <c r="L61" s="26">
        <f>COUNT(Form_Responses1[Statement 2])</f>
        <v>58</v>
      </c>
      <c r="M61" s="26">
        <f>COUNT(Form_Responses1[Statement 3])</f>
        <v>58</v>
      </c>
      <c r="N61" s="26">
        <f>COUNT(Form_Responses1[Statement 4])</f>
        <v>58</v>
      </c>
      <c r="O61" s="26">
        <f>COUNT(Form_Responses1[Statement 2])</f>
        <v>58</v>
      </c>
      <c r="P61" s="26">
        <f>COUNT(Form_Responses1[Statement 3])</f>
        <v>58</v>
      </c>
      <c r="Q61" s="26">
        <f>COUNT(Form_Responses1[Statement 4])</f>
        <v>58</v>
      </c>
      <c r="R61" s="26">
        <f>COUNT(Form_Responses1[Statement 5])</f>
        <v>57</v>
      </c>
      <c r="S61" s="26">
        <f>COUNT(Form_Responses1[Statement 2])</f>
        <v>58</v>
      </c>
      <c r="T61" s="26">
        <f>COUNT(Form_Responses1[Statement 3])</f>
        <v>58</v>
      </c>
      <c r="U61" s="27">
        <f>COUNT(Form_Responses1[Statement 4])</f>
        <v>58</v>
      </c>
    </row>
    <row r="62" spans="1:21" ht="15.75" customHeight="1" x14ac:dyDescent="0.3">
      <c r="A62" s="22"/>
      <c r="J62" s="37" t="s">
        <v>116</v>
      </c>
      <c r="K62" s="33">
        <f>AVERAGE(Form_Responses1[Statement 1])</f>
        <v>4.1403508771929829</v>
      </c>
      <c r="L62" s="25">
        <f>AVERAGE(Form_Responses1[Statement 2])</f>
        <v>4.5517241379310347</v>
      </c>
      <c r="M62" s="25">
        <f>AVERAGE(Form_Responses1[Statement 3])</f>
        <v>4.3275862068965516</v>
      </c>
      <c r="N62" s="25">
        <f>AVERAGE(Form_Responses1[Statement 4])</f>
        <v>3.396551724137931</v>
      </c>
      <c r="O62" s="25">
        <f>AVERAGE(Form_Responses1[Statement 5])</f>
        <v>4.5789473684210522</v>
      </c>
      <c r="P62" s="25">
        <f>AVERAGE(Form_Responses1[Statement 6])</f>
        <v>3.9827586206896552</v>
      </c>
      <c r="Q62" s="25">
        <f>AVERAGE(Form_Responses1[Statement 7])</f>
        <v>4.5</v>
      </c>
      <c r="R62" s="25">
        <f>AVERAGE(Form_Responses1[Statement 8])</f>
        <v>3.6379310344827585</v>
      </c>
      <c r="S62" s="25">
        <f>AVERAGE(Form_Responses1[Statement 9])</f>
        <v>4.3103448275862073</v>
      </c>
      <c r="T62" s="25">
        <f>AVERAGE(Form_Responses1[Statement 10])</f>
        <v>3.4561403508771931</v>
      </c>
      <c r="U62" s="28">
        <f>AVERAGE(Form_Responses1[Statement 11])</f>
        <v>3.8448275862068964</v>
      </c>
    </row>
    <row r="63" spans="1:21" ht="15.75" customHeight="1" x14ac:dyDescent="0.3">
      <c r="A63" s="22"/>
      <c r="J63" s="37" t="s">
        <v>117</v>
      </c>
      <c r="K63" s="33">
        <f>_xlfn.STDEV.P(K2:K59)</f>
        <v>0.80434339553316847</v>
      </c>
      <c r="L63" s="25">
        <f t="shared" ref="L63:U63" si="0">_xlfn.STDEV.P(L2:L59)</f>
        <v>0.64787221476054946</v>
      </c>
      <c r="M63" s="25">
        <f t="shared" si="0"/>
        <v>0.81764866906064659</v>
      </c>
      <c r="N63" s="25">
        <f t="shared" si="0"/>
        <v>0.92735543854208302</v>
      </c>
      <c r="O63" s="25">
        <f t="shared" si="0"/>
        <v>0.64746112586827842</v>
      </c>
      <c r="P63" s="25">
        <f t="shared" si="0"/>
        <v>0.90002642318194404</v>
      </c>
      <c r="Q63" s="25">
        <f t="shared" si="0"/>
        <v>0.79329083243636833</v>
      </c>
      <c r="R63" s="25">
        <f t="shared" si="0"/>
        <v>1.0119676269537372</v>
      </c>
      <c r="S63" s="25">
        <f t="shared" si="0"/>
        <v>0.93231074721350171</v>
      </c>
      <c r="T63" s="25">
        <f t="shared" si="0"/>
        <v>0.99243057008638247</v>
      </c>
      <c r="U63" s="28">
        <f t="shared" si="0"/>
        <v>0.73816464236578083</v>
      </c>
    </row>
    <row r="64" spans="1:21" ht="15.75" customHeight="1" x14ac:dyDescent="0.3">
      <c r="A64" s="22"/>
      <c r="J64" s="37" t="s">
        <v>118</v>
      </c>
      <c r="K64" s="34">
        <f>MIN(K2:K59)</f>
        <v>2</v>
      </c>
      <c r="L64" s="24">
        <f t="shared" ref="L64:U64" si="1">MIN(L2:L59)</f>
        <v>3</v>
      </c>
      <c r="M64" s="24">
        <f t="shared" si="1"/>
        <v>2</v>
      </c>
      <c r="N64" s="24">
        <f t="shared" si="1"/>
        <v>1</v>
      </c>
      <c r="O64" s="24">
        <f t="shared" si="1"/>
        <v>2</v>
      </c>
      <c r="P64" s="24">
        <f t="shared" si="1"/>
        <v>2</v>
      </c>
      <c r="Q64" s="24">
        <f t="shared" si="1"/>
        <v>2</v>
      </c>
      <c r="R64" s="24">
        <f t="shared" si="1"/>
        <v>1</v>
      </c>
      <c r="S64" s="24">
        <f t="shared" si="1"/>
        <v>1</v>
      </c>
      <c r="T64" s="24">
        <f t="shared" si="1"/>
        <v>1</v>
      </c>
      <c r="U64" s="29">
        <f t="shared" si="1"/>
        <v>2</v>
      </c>
    </row>
    <row r="65" spans="1:21" ht="15.75" customHeight="1" thickBot="1" x14ac:dyDescent="0.35">
      <c r="A65" s="22"/>
      <c r="J65" s="38" t="s">
        <v>119</v>
      </c>
      <c r="K65" s="35">
        <f>MAX(K2:K59)</f>
        <v>5</v>
      </c>
      <c r="L65" s="30">
        <f t="shared" ref="L65:U65" si="2">MAX(L2:L59)</f>
        <v>5</v>
      </c>
      <c r="M65" s="30">
        <f t="shared" si="2"/>
        <v>5</v>
      </c>
      <c r="N65" s="30">
        <f t="shared" si="2"/>
        <v>5</v>
      </c>
      <c r="O65" s="30">
        <f t="shared" si="2"/>
        <v>5</v>
      </c>
      <c r="P65" s="30">
        <f t="shared" si="2"/>
        <v>5</v>
      </c>
      <c r="Q65" s="30">
        <f t="shared" si="2"/>
        <v>5</v>
      </c>
      <c r="R65" s="30">
        <f t="shared" si="2"/>
        <v>5</v>
      </c>
      <c r="S65" s="30">
        <f t="shared" si="2"/>
        <v>5</v>
      </c>
      <c r="T65" s="30">
        <f t="shared" si="2"/>
        <v>5</v>
      </c>
      <c r="U65" s="31">
        <f t="shared" si="2"/>
        <v>5</v>
      </c>
    </row>
    <row r="66" spans="1:21" ht="15.75" customHeight="1" x14ac:dyDescent="0.25">
      <c r="A66" s="58" t="s">
        <v>132</v>
      </c>
    </row>
    <row r="67" spans="1:21" ht="15.75" customHeight="1" x14ac:dyDescent="0.25">
      <c r="A67" s="58" t="s">
        <v>173</v>
      </c>
      <c r="B67">
        <v>12</v>
      </c>
      <c r="C67" s="17">
        <v>20</v>
      </c>
      <c r="D67">
        <v>26</v>
      </c>
    </row>
    <row r="68" spans="1:21" ht="15.75" customHeight="1" x14ac:dyDescent="0.25">
      <c r="A68" s="58" t="s">
        <v>174</v>
      </c>
      <c r="B68">
        <v>11</v>
      </c>
      <c r="C68" s="17">
        <v>18</v>
      </c>
      <c r="D68">
        <v>19</v>
      </c>
      <c r="E68" s="17">
        <v>10</v>
      </c>
    </row>
    <row r="69" spans="1:21" ht="15.75" customHeight="1" x14ac:dyDescent="0.25">
      <c r="A69" s="58" t="s">
        <v>107</v>
      </c>
      <c r="B69">
        <v>5</v>
      </c>
      <c r="C69" s="17">
        <v>19</v>
      </c>
      <c r="D69">
        <v>23</v>
      </c>
      <c r="E69" s="17">
        <v>11</v>
      </c>
    </row>
    <row r="70" spans="1:21" ht="15.75" customHeight="1" x14ac:dyDescent="0.25">
      <c r="A70" s="58" t="s">
        <v>175</v>
      </c>
      <c r="B70">
        <v>8</v>
      </c>
      <c r="C70" s="17">
        <v>26</v>
      </c>
      <c r="D70">
        <v>20</v>
      </c>
      <c r="E70" s="17">
        <v>4</v>
      </c>
    </row>
  </sheetData>
  <phoneticPr fontId="4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13502C72-0672-4B4D-8062-4B86CD0345CA}">
          <xm:f>Age!1:1048576</xm:f>
        </x15:webExtension>
        <x15:webExtension appRef="{525B5EB2-B984-4EB9-9E3D-E4D0BB870C3A}">
          <xm:f>Age!#REF!</xm:f>
        </x15:webExtension>
        <x15:webExtension appRef="{8518B837-1508-4DF3-B57F-7CE21DE1A1F0}">
          <xm:f>Age!#REF!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42A1-E3CB-4802-B2AF-B46202C98225}">
  <dimension ref="A1:O70"/>
  <sheetViews>
    <sheetView tabSelected="1" topLeftCell="A34" workbookViewId="0">
      <selection activeCell="N4" sqref="N4:O7"/>
    </sheetView>
  </sheetViews>
  <sheetFormatPr defaultRowHeight="12.5" x14ac:dyDescent="0.25"/>
  <cols>
    <col min="1" max="1" width="32.54296875" customWidth="1"/>
    <col min="2" max="10" width="10.6328125" bestFit="1" customWidth="1"/>
    <col min="11" max="12" width="11.54296875" bestFit="1" customWidth="1"/>
    <col min="14" max="14" width="10.453125" bestFit="1" customWidth="1"/>
  </cols>
  <sheetData>
    <row r="1" spans="1:15" x14ac:dyDescent="0.25">
      <c r="A1" s="39" t="s">
        <v>5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25">
      <c r="A2" s="40" t="s">
        <v>11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25">
      <c r="A3" s="41" t="s">
        <v>11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25">
      <c r="A4" s="40" t="s">
        <v>17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  <c r="N4" s="52" t="s">
        <v>166</v>
      </c>
      <c r="O4" s="52" t="s">
        <v>165</v>
      </c>
    </row>
    <row r="5" spans="1:15" x14ac:dyDescent="0.25">
      <c r="A5" s="41" t="s">
        <v>20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  <c r="N5" s="52" t="s">
        <v>162</v>
      </c>
      <c r="O5" s="55">
        <v>12</v>
      </c>
    </row>
    <row r="6" spans="1:15" x14ac:dyDescent="0.25">
      <c r="A6" s="40" t="s">
        <v>20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2" t="s">
        <v>163</v>
      </c>
      <c r="O6" s="54">
        <v>20</v>
      </c>
    </row>
    <row r="7" spans="1:15" x14ac:dyDescent="0.25">
      <c r="A7" s="41" t="s">
        <v>20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2" t="s">
        <v>164</v>
      </c>
      <c r="O7" s="55">
        <v>26</v>
      </c>
    </row>
    <row r="8" spans="1:15" x14ac:dyDescent="0.25">
      <c r="A8" s="40" t="s">
        <v>11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</row>
    <row r="9" spans="1:15" x14ac:dyDescent="0.25">
      <c r="A9" s="42" t="s">
        <v>11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</row>
    <row r="10" spans="1:15" x14ac:dyDescent="0.25">
      <c r="A10" s="43" t="s">
        <v>20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</row>
    <row r="11" spans="1:15" x14ac:dyDescent="0.25">
      <c r="A11" s="42" t="s">
        <v>20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25">
      <c r="A12" s="43" t="s">
        <v>17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25">
      <c r="A13" s="42" t="s">
        <v>11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25">
      <c r="A14" s="43" t="s">
        <v>20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25">
      <c r="A15" s="42" t="s">
        <v>17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25">
      <c r="A16" s="43" t="s">
        <v>17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25">
      <c r="A17" s="42" t="s">
        <v>20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25">
      <c r="A18" s="43" t="s">
        <v>11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25">
      <c r="A19" s="42" t="s">
        <v>17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25">
      <c r="A20" s="40" t="s">
        <v>20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25">
      <c r="A21" s="41" t="s">
        <v>20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25">
      <c r="A22" s="40" t="s">
        <v>20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25">
      <c r="A23" s="41" t="s">
        <v>20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25">
      <c r="A24" s="40" t="s">
        <v>17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25">
      <c r="A25" s="41" t="s">
        <v>20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25">
      <c r="A26" s="40" t="s">
        <v>20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25">
      <c r="A27" s="41" t="s">
        <v>20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25">
      <c r="A28" s="40" t="s">
        <v>17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25">
      <c r="A29" s="41" t="s">
        <v>11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25">
      <c r="A30" s="40" t="s">
        <v>11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25">
      <c r="A31" s="41" t="s">
        <v>20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25">
      <c r="A32" s="40" t="s">
        <v>20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25">
      <c r="A33" s="41" t="s">
        <v>20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25">
      <c r="A34" s="40" t="s">
        <v>11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25">
      <c r="A35" s="41" t="s">
        <v>20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25">
      <c r="A36" s="40" t="s">
        <v>17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25">
      <c r="A37" s="41" t="s">
        <v>17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25">
      <c r="A38" s="40" t="s">
        <v>20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25">
      <c r="A39" s="41" t="s">
        <v>11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25">
      <c r="A40" s="40" t="s">
        <v>20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25">
      <c r="A41" s="41" t="s">
        <v>20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25">
      <c r="A42" s="40" t="s">
        <v>11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25">
      <c r="A43" s="41" t="s">
        <v>11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25">
      <c r="A44" s="40" t="s">
        <v>20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25">
      <c r="A45" s="41" t="s">
        <v>20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25">
      <c r="A46" s="40" t="s">
        <v>11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25">
      <c r="A47" s="41" t="s">
        <v>20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25">
      <c r="A48" s="40" t="s">
        <v>20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25">
      <c r="A49" s="41" t="s">
        <v>11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25">
      <c r="A50" s="40" t="s">
        <v>11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25">
      <c r="A51" s="41" t="s">
        <v>11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25">
      <c r="A52" s="40" t="s">
        <v>11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25">
      <c r="A53" s="41" t="s">
        <v>11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25">
      <c r="A54" s="40" t="s">
        <v>17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25">
      <c r="A55" s="41" t="s">
        <v>20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25">
      <c r="A56" s="40" t="s">
        <v>17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25">
      <c r="A57" s="41" t="s">
        <v>11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25">
      <c r="A58" s="40" t="s">
        <v>11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25">
      <c r="A59" s="44" t="s">
        <v>17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3" spans="1:12" ht="13" x14ac:dyDescent="0.3">
      <c r="A63" s="22" t="s">
        <v>135</v>
      </c>
    </row>
    <row r="64" spans="1:12" x14ac:dyDescent="0.25">
      <c r="A64" s="53" t="s">
        <v>136</v>
      </c>
      <c r="B64" s="56">
        <v>0.24959999999999999</v>
      </c>
      <c r="C64" s="56">
        <v>1.9513360323886599</v>
      </c>
      <c r="D64" s="56">
        <v>9.0980000000000005E-2</v>
      </c>
      <c r="E64" s="56">
        <v>0.79190000000000005</v>
      </c>
      <c r="F64" s="56">
        <v>1.6194999999999999</v>
      </c>
      <c r="G64" s="56">
        <v>2.2200000000000002</v>
      </c>
      <c r="H64" s="56">
        <v>0.88549999999999995</v>
      </c>
      <c r="I64" s="56">
        <v>2.3664999999999998</v>
      </c>
      <c r="J64" s="56">
        <v>0.57550000000000001</v>
      </c>
      <c r="K64" s="56">
        <v>6.0361000000000002</v>
      </c>
      <c r="L64" s="56">
        <v>2.6732999999999998</v>
      </c>
    </row>
    <row r="65" spans="1:12" x14ac:dyDescent="0.25">
      <c r="A65" s="53" t="s">
        <v>131</v>
      </c>
      <c r="B65" s="56">
        <v>0.88270000000000004</v>
      </c>
      <c r="C65" s="56">
        <v>0.42449999999999999</v>
      </c>
      <c r="D65" s="56">
        <v>0.95550000000000002</v>
      </c>
      <c r="E65" s="56">
        <v>0.4667</v>
      </c>
      <c r="F65" s="56">
        <v>0.44500000000000001</v>
      </c>
      <c r="G65" s="56">
        <v>0.3296</v>
      </c>
      <c r="H65" s="56">
        <v>0.64229999999999998</v>
      </c>
      <c r="I65" s="56">
        <v>0.30630000000000002</v>
      </c>
      <c r="J65" s="56">
        <v>0.74990000000000001</v>
      </c>
      <c r="K65" s="57">
        <v>4.8899999999999999E-2</v>
      </c>
      <c r="L65" s="56">
        <v>0.26269999999999999</v>
      </c>
    </row>
    <row r="66" spans="1:12" x14ac:dyDescent="0.25">
      <c r="K66" s="58" t="s">
        <v>157</v>
      </c>
    </row>
    <row r="67" spans="1:12" ht="13" x14ac:dyDescent="0.3">
      <c r="A67" s="22" t="s">
        <v>147</v>
      </c>
    </row>
    <row r="68" spans="1:12" x14ac:dyDescent="0.25">
      <c r="A68" s="52" t="s">
        <v>20</v>
      </c>
      <c r="B68" s="66" t="s">
        <v>148</v>
      </c>
      <c r="C68" s="67">
        <v>4.1848999999999998</v>
      </c>
      <c r="D68" s="66" t="s">
        <v>150</v>
      </c>
      <c r="E68" s="66" t="s">
        <v>152</v>
      </c>
      <c r="F68" s="67">
        <v>3.9710999999999999</v>
      </c>
      <c r="G68" s="67">
        <v>4.1877000000000004</v>
      </c>
      <c r="H68" s="67">
        <v>4.0442</v>
      </c>
      <c r="I68" s="67">
        <v>4.1863000000000001</v>
      </c>
      <c r="J68" s="67">
        <v>4.0420999999999996</v>
      </c>
      <c r="K68" s="67">
        <v>4.1041999999999996</v>
      </c>
      <c r="L68" s="67">
        <v>4.0385999999999997</v>
      </c>
    </row>
    <row r="69" spans="1:12" x14ac:dyDescent="0.25">
      <c r="A69" s="52" t="s">
        <v>11</v>
      </c>
      <c r="B69" s="67">
        <v>3.577</v>
      </c>
      <c r="C69" s="66" t="s">
        <v>149</v>
      </c>
      <c r="D69" s="66" t="s">
        <v>151</v>
      </c>
      <c r="E69" s="67">
        <v>3.5737999999999999</v>
      </c>
      <c r="F69" s="66" t="s">
        <v>149</v>
      </c>
      <c r="G69" s="66" t="s">
        <v>153</v>
      </c>
      <c r="H69" s="66" t="s">
        <v>154</v>
      </c>
      <c r="I69" s="67">
        <v>3.5724999999999998</v>
      </c>
      <c r="J69" s="66" t="s">
        <v>155</v>
      </c>
      <c r="K69" s="66" t="s">
        <v>156</v>
      </c>
      <c r="L69" s="67">
        <v>3.5769000000000002</v>
      </c>
    </row>
    <row r="70" spans="1:12" x14ac:dyDescent="0.25">
      <c r="A70" s="52" t="s">
        <v>17</v>
      </c>
      <c r="B70" s="67">
        <v>2.8496999999999999</v>
      </c>
      <c r="C70" s="67">
        <v>2.8382999999999998</v>
      </c>
      <c r="D70" s="67">
        <v>2.9607999999999999</v>
      </c>
      <c r="E70" s="67">
        <v>2.8330000000000002</v>
      </c>
      <c r="F70" s="67">
        <v>2.9607999999999999</v>
      </c>
      <c r="G70" s="67">
        <v>2.8355999999999999</v>
      </c>
      <c r="H70" s="67">
        <v>2.9611000000000001</v>
      </c>
      <c r="I70" s="67">
        <v>2.8332000000000002</v>
      </c>
      <c r="J70" s="67">
        <v>2.9481999999999999</v>
      </c>
      <c r="K70" s="67">
        <v>2.8369</v>
      </c>
      <c r="L70" s="67">
        <v>2.9586000000000001</v>
      </c>
    </row>
  </sheetData>
  <autoFilter ref="A1:L59" xr:uid="{238F42A1-E3CB-4802-B2AF-B46202C98225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4D85-0E68-448E-824A-AFB9BC89740F}">
  <dimension ref="A1:O72"/>
  <sheetViews>
    <sheetView workbookViewId="0">
      <selection activeCell="O10" sqref="O10"/>
    </sheetView>
  </sheetViews>
  <sheetFormatPr defaultRowHeight="12.5" x14ac:dyDescent="0.25"/>
  <cols>
    <col min="1" max="1" width="17.453125" customWidth="1"/>
    <col min="2" max="10" width="10.6328125" bestFit="1" customWidth="1"/>
    <col min="11" max="12" width="11.54296875" bestFit="1" customWidth="1"/>
  </cols>
  <sheetData>
    <row r="1" spans="1:15" x14ac:dyDescent="0.25">
      <c r="A1" s="2" t="s">
        <v>6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25">
      <c r="A2" s="4" t="s">
        <v>111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25">
      <c r="A3" s="6" t="s">
        <v>112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25">
      <c r="A4" s="4" t="s">
        <v>113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25">
      <c r="A5" s="4" t="s">
        <v>111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  <c r="N5" s="58" t="s">
        <v>166</v>
      </c>
      <c r="O5" s="58" t="s">
        <v>115</v>
      </c>
    </row>
    <row r="6" spans="1:15" x14ac:dyDescent="0.25">
      <c r="A6" s="6" t="s">
        <v>112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114</v>
      </c>
      <c r="O6" s="72">
        <v>11</v>
      </c>
    </row>
    <row r="7" spans="1:15" x14ac:dyDescent="0.25">
      <c r="A7" s="4" t="s">
        <v>111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133</v>
      </c>
      <c r="O7" s="71">
        <v>18</v>
      </c>
    </row>
    <row r="8" spans="1:15" x14ac:dyDescent="0.25">
      <c r="A8" s="73" t="s">
        <v>167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20</v>
      </c>
      <c r="O8" s="72">
        <v>19</v>
      </c>
    </row>
    <row r="9" spans="1:15" x14ac:dyDescent="0.25">
      <c r="A9" s="4" t="s">
        <v>113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134</v>
      </c>
      <c r="O9" s="71">
        <v>10</v>
      </c>
    </row>
    <row r="10" spans="1:15" x14ac:dyDescent="0.25">
      <c r="A10" s="6" t="s">
        <v>112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</row>
    <row r="11" spans="1:15" x14ac:dyDescent="0.25">
      <c r="A11" s="4" t="s">
        <v>113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25">
      <c r="A12" s="6" t="s">
        <v>112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25">
      <c r="A13" s="4" t="s">
        <v>111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25">
      <c r="A14" s="4" t="s">
        <v>111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25">
      <c r="A15" s="4" t="s">
        <v>113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25">
      <c r="A16" s="4" t="s">
        <v>113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25">
      <c r="A17" s="4" t="s">
        <v>111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25">
      <c r="A18" s="4" t="s">
        <v>111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25">
      <c r="A19" s="6" t="s">
        <v>112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25">
      <c r="A20" s="4" t="s">
        <v>111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25">
      <c r="A21" s="4" t="s">
        <v>111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25">
      <c r="A22" s="4" t="s">
        <v>113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25">
      <c r="A23" s="4" t="s">
        <v>111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25">
      <c r="A24" s="6" t="s">
        <v>112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25">
      <c r="A25" s="6" t="s">
        <v>114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25">
      <c r="A26" s="4" t="s">
        <v>113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25">
      <c r="A27" s="6" t="s">
        <v>112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25">
      <c r="A28" s="6" t="s">
        <v>112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25">
      <c r="A29" s="4" t="s">
        <v>111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25">
      <c r="A30" s="6" t="s">
        <v>114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25">
      <c r="A31" s="6" t="s">
        <v>112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25">
      <c r="A32" s="6" t="s">
        <v>112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25">
      <c r="A33" s="4" t="s">
        <v>111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25">
      <c r="A34" s="4" t="s">
        <v>113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25">
      <c r="A35" s="4" t="s">
        <v>113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25">
      <c r="A36" s="6" t="s">
        <v>112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25">
      <c r="A37" s="6" t="s">
        <v>112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25">
      <c r="A38" s="4" t="s">
        <v>113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25">
      <c r="A39" s="4" t="s">
        <v>111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25">
      <c r="A40" s="6" t="s">
        <v>114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25">
      <c r="A41" s="4" t="s">
        <v>111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25">
      <c r="A42" s="6" t="s">
        <v>112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25">
      <c r="A43" s="6" t="s">
        <v>114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25">
      <c r="A44" s="6" t="s">
        <v>114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25">
      <c r="A45" s="6" t="s">
        <v>114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25">
      <c r="A46" s="4" t="s">
        <v>111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25">
      <c r="A47" s="6" t="s">
        <v>112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25">
      <c r="A48" s="6" t="s">
        <v>114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25">
      <c r="A49" s="6" t="s">
        <v>112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25">
      <c r="A50" s="6" t="s">
        <v>112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25">
      <c r="A51" s="4" t="s">
        <v>111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25">
      <c r="A52" s="4" t="s">
        <v>111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25">
      <c r="A53" s="6" t="s">
        <v>114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25">
      <c r="A54" s="6" t="s">
        <v>114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25">
      <c r="A55" s="6" t="s">
        <v>112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25">
      <c r="A56" s="6" t="s">
        <v>112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25">
      <c r="A57" s="4" t="s">
        <v>111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25">
      <c r="A58" s="6" t="s">
        <v>112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25">
      <c r="A59" s="6" t="s">
        <v>114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ht="13" x14ac:dyDescent="0.3">
      <c r="A62" s="22" t="s">
        <v>135</v>
      </c>
    </row>
    <row r="63" spans="1:12" x14ac:dyDescent="0.25">
      <c r="A63" t="s">
        <v>136</v>
      </c>
      <c r="B63" s="56">
        <v>0.73799999999999999</v>
      </c>
      <c r="C63" s="56">
        <v>0.46010000000000001</v>
      </c>
      <c r="D63" s="56">
        <v>0.36109999999999998</v>
      </c>
      <c r="E63" s="56">
        <v>1.0499000000000001</v>
      </c>
      <c r="F63" s="56">
        <v>0.52800000000000002</v>
      </c>
      <c r="G63" s="56">
        <v>0.60680000000000001</v>
      </c>
      <c r="H63" s="56">
        <v>0.77749999999999997</v>
      </c>
      <c r="I63" s="56">
        <v>1.8784000000000001</v>
      </c>
      <c r="J63" s="56">
        <v>1.522</v>
      </c>
      <c r="K63" s="56">
        <v>2.4535999999999998</v>
      </c>
      <c r="L63" s="56">
        <v>1.5438000000000001</v>
      </c>
    </row>
    <row r="64" spans="1:12" x14ac:dyDescent="0.25">
      <c r="A64" t="s">
        <v>131</v>
      </c>
      <c r="B64" s="56">
        <v>0.86419999999999997</v>
      </c>
      <c r="C64" s="56">
        <v>0.92759999999999998</v>
      </c>
      <c r="D64" s="56">
        <v>0.94820000000000004</v>
      </c>
      <c r="E64" s="56">
        <v>0.78920000000000001</v>
      </c>
      <c r="F64" s="56">
        <v>0.91269999999999996</v>
      </c>
      <c r="G64" s="56">
        <v>0.89490000000000003</v>
      </c>
      <c r="H64" s="56">
        <v>0.8548</v>
      </c>
      <c r="I64" s="56">
        <v>0.59799999999999998</v>
      </c>
      <c r="J64" s="56">
        <v>0.67720000000000002</v>
      </c>
      <c r="K64" s="56">
        <v>0.48370000000000002</v>
      </c>
      <c r="L64" s="56">
        <v>0.67220000000000002</v>
      </c>
    </row>
    <row r="65" spans="1:12" x14ac:dyDescent="0.25">
      <c r="D65" s="56"/>
      <c r="E65" s="56"/>
      <c r="F65" s="56"/>
      <c r="G65" s="56"/>
      <c r="H65" s="56"/>
      <c r="I65" s="56"/>
      <c r="J65" s="56"/>
      <c r="K65" s="56"/>
      <c r="L65" s="56"/>
    </row>
    <row r="66" spans="1:12" ht="13" x14ac:dyDescent="0.3">
      <c r="A66" s="22" t="s">
        <v>147</v>
      </c>
      <c r="D66" s="56"/>
      <c r="E66" s="56"/>
      <c r="F66" s="56"/>
      <c r="G66" s="56"/>
      <c r="H66" s="56"/>
      <c r="I66" s="56"/>
      <c r="J66" s="56"/>
      <c r="K66" s="56"/>
      <c r="L66" s="56"/>
    </row>
    <row r="67" spans="1:12" x14ac:dyDescent="0.25">
      <c r="A67" s="52" t="s">
        <v>114</v>
      </c>
      <c r="B67" s="66">
        <v>2.6154000000000002</v>
      </c>
      <c r="C67" s="67">
        <v>2.8530000000000002</v>
      </c>
      <c r="D67" s="56">
        <v>2.7305999999999999</v>
      </c>
      <c r="E67" s="56">
        <v>2.8464999999999998</v>
      </c>
      <c r="F67" s="56">
        <v>2.7317999999999998</v>
      </c>
      <c r="G67" s="56">
        <v>2.8443000000000001</v>
      </c>
      <c r="H67" s="56">
        <v>2.7307999999999999</v>
      </c>
      <c r="I67" s="56">
        <v>2.8496000000000001</v>
      </c>
      <c r="J67" s="56">
        <v>2.7309999999999999</v>
      </c>
      <c r="K67" s="56">
        <v>2.8500999999999999</v>
      </c>
      <c r="L67" s="56">
        <v>2.7298</v>
      </c>
    </row>
    <row r="68" spans="1:12" x14ac:dyDescent="0.25">
      <c r="A68" s="52" t="s">
        <v>133</v>
      </c>
      <c r="B68" s="67">
        <v>3.4083999999999999</v>
      </c>
      <c r="C68" s="66">
        <v>3.4091999999999998</v>
      </c>
      <c r="D68" s="56">
        <v>3.4089</v>
      </c>
      <c r="E68" s="56">
        <v>3.4051</v>
      </c>
      <c r="F68" s="56">
        <v>3.3209</v>
      </c>
      <c r="G68" s="56">
        <v>3.407</v>
      </c>
      <c r="H68" s="56">
        <v>3.4102000000000001</v>
      </c>
      <c r="I68" s="56">
        <v>3.4064999999999999</v>
      </c>
      <c r="J68" s="56">
        <v>3.4091999999999998</v>
      </c>
      <c r="K68" s="56">
        <v>3.4020000000000001</v>
      </c>
      <c r="L68" s="56">
        <v>3.4054000000000002</v>
      </c>
    </row>
    <row r="69" spans="1:12" x14ac:dyDescent="0.25">
      <c r="A69" s="52" t="s">
        <v>20</v>
      </c>
      <c r="B69" s="67">
        <v>3.4933000000000001</v>
      </c>
      <c r="C69" s="67">
        <v>3.4961000000000002</v>
      </c>
      <c r="D69" s="56">
        <v>3.4946000000000002</v>
      </c>
      <c r="E69" s="56">
        <v>3.4889000000000001</v>
      </c>
      <c r="F69" s="56">
        <v>3.4954999999999998</v>
      </c>
      <c r="G69" s="56">
        <v>3.4922</v>
      </c>
      <c r="H69" s="56">
        <v>3.4944999999999999</v>
      </c>
      <c r="I69" s="56">
        <v>3.4893999999999998</v>
      </c>
      <c r="J69" s="56">
        <v>3.4916999999999998</v>
      </c>
      <c r="K69" s="56">
        <v>3.4891000000000001</v>
      </c>
      <c r="L69" s="56">
        <v>3.4912999999999998</v>
      </c>
    </row>
    <row r="70" spans="1:12" ht="13" thickBot="1" x14ac:dyDescent="0.3">
      <c r="A70" s="52" t="s">
        <v>134</v>
      </c>
      <c r="B70" s="53">
        <v>1.0931999999999999</v>
      </c>
      <c r="C70" s="53">
        <v>1.0931999999999999</v>
      </c>
      <c r="D70" s="56">
        <v>1.0931999999999999</v>
      </c>
      <c r="E70" s="56">
        <v>1.0931999999999999</v>
      </c>
      <c r="F70" s="56">
        <v>1.0931999999999999</v>
      </c>
      <c r="G70" s="56">
        <v>1.0931999999999999</v>
      </c>
      <c r="H70" s="56">
        <v>1.0931999999999999</v>
      </c>
      <c r="I70" s="56">
        <v>1.0931999999999999</v>
      </c>
      <c r="J70" s="56">
        <v>1.0931999999999999</v>
      </c>
      <c r="K70" s="56">
        <v>1.0931999999999999</v>
      </c>
      <c r="L70" s="56">
        <v>1.0931999999999999</v>
      </c>
    </row>
    <row r="71" spans="1:12" ht="14.5" thickBot="1" x14ac:dyDescent="0.3">
      <c r="A71" s="58"/>
      <c r="D71" s="65"/>
      <c r="E71" s="65"/>
    </row>
    <row r="72" spans="1:12" x14ac:dyDescent="0.25">
      <c r="A72" s="58"/>
    </row>
  </sheetData>
  <autoFilter ref="A1:L59" xr:uid="{F0984D85-0E68-448E-824A-AFB9BC89740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9CF8-3725-48F5-883E-D7C82C1A5F57}">
  <dimension ref="A1:O71"/>
  <sheetViews>
    <sheetView workbookViewId="0">
      <selection activeCell="P16" sqref="P16"/>
    </sheetView>
  </sheetViews>
  <sheetFormatPr defaultRowHeight="12.5" x14ac:dyDescent="0.25"/>
  <cols>
    <col min="1" max="1" width="18.90625" style="17" customWidth="1"/>
    <col min="2" max="10" width="10.6328125" bestFit="1" customWidth="1"/>
    <col min="11" max="12" width="11.54296875" bestFit="1" customWidth="1"/>
    <col min="14" max="14" width="11.1796875" bestFit="1" customWidth="1"/>
  </cols>
  <sheetData>
    <row r="1" spans="1:15" x14ac:dyDescent="0.25">
      <c r="A1" s="13" t="s">
        <v>107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25">
      <c r="A2" s="14" t="s">
        <v>43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25">
      <c r="A3" s="15" t="s">
        <v>108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25">
      <c r="A4" s="14" t="s">
        <v>109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25">
      <c r="A5" s="15" t="s">
        <v>109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</row>
    <row r="6" spans="1:15" x14ac:dyDescent="0.25">
      <c r="A6" s="14" t="s">
        <v>108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166</v>
      </c>
      <c r="O6" s="58" t="s">
        <v>168</v>
      </c>
    </row>
    <row r="7" spans="1:15" x14ac:dyDescent="0.25">
      <c r="A7" s="15" t="s">
        <v>109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43</v>
      </c>
      <c r="O7" s="71">
        <v>5</v>
      </c>
    </row>
    <row r="8" spans="1:15" x14ac:dyDescent="0.25">
      <c r="A8" s="14" t="s">
        <v>109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109</v>
      </c>
      <c r="O8" s="72">
        <v>19</v>
      </c>
    </row>
    <row r="9" spans="1:15" x14ac:dyDescent="0.25">
      <c r="A9" s="14" t="s">
        <v>109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146</v>
      </c>
      <c r="O9" s="71">
        <v>23</v>
      </c>
    </row>
    <row r="10" spans="1:15" x14ac:dyDescent="0.25">
      <c r="A10" s="15" t="s">
        <v>109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  <c r="N10" s="58" t="s">
        <v>158</v>
      </c>
      <c r="O10" s="72">
        <v>11</v>
      </c>
    </row>
    <row r="11" spans="1:15" x14ac:dyDescent="0.25">
      <c r="A11" s="14" t="s">
        <v>109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25">
      <c r="A12" s="15" t="s">
        <v>109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25">
      <c r="A13" s="14" t="s">
        <v>109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25">
      <c r="A14" s="15" t="s">
        <v>108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25">
      <c r="A15" s="14" t="s">
        <v>108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25">
      <c r="A16" s="15" t="s">
        <v>109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25">
      <c r="A17" s="14" t="s">
        <v>43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25">
      <c r="A18" s="15" t="s">
        <v>43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25">
      <c r="A19" s="14" t="s">
        <v>43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25">
      <c r="A20" s="14" t="s">
        <v>110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25">
      <c r="A21" s="15" t="s">
        <v>110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25">
      <c r="A22" s="14" t="s">
        <v>108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25">
      <c r="A23" s="15" t="s">
        <v>110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25">
      <c r="A24" s="14" t="s">
        <v>110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25">
      <c r="A25" s="15" t="s">
        <v>110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25">
      <c r="A26" s="14" t="s">
        <v>108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25">
      <c r="A27" s="15" t="s">
        <v>108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25">
      <c r="A28" s="14" t="s">
        <v>108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25">
      <c r="A29" s="15" t="s">
        <v>109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25">
      <c r="A30" s="14" t="s">
        <v>108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25">
      <c r="A31" s="15" t="s">
        <v>108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25">
      <c r="A32" s="14" t="s">
        <v>108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25">
      <c r="A33" s="15" t="s">
        <v>110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25">
      <c r="A34" s="14" t="s">
        <v>108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25">
      <c r="A35" s="15" t="s">
        <v>108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25">
      <c r="A36" s="14" t="s">
        <v>108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25">
      <c r="A37" s="15" t="s">
        <v>109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25">
      <c r="A38" s="14" t="s">
        <v>109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25">
      <c r="A39" s="15" t="s">
        <v>109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25">
      <c r="A40" s="14" t="s">
        <v>108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25">
      <c r="A41" s="15" t="s">
        <v>108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25">
      <c r="A42" s="14" t="s">
        <v>110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25">
      <c r="A43" s="15" t="s">
        <v>108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25">
      <c r="A44" s="14" t="s">
        <v>108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25">
      <c r="A45" s="15" t="s">
        <v>109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25">
      <c r="A46" s="14" t="s">
        <v>110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25">
      <c r="A47" s="15" t="s">
        <v>108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25">
      <c r="A48" s="14" t="s">
        <v>43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25">
      <c r="A49" s="15" t="s">
        <v>108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25">
      <c r="A50" s="14" t="s">
        <v>110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25">
      <c r="A51" s="15" t="s">
        <v>109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25">
      <c r="A52" s="14" t="s">
        <v>108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25">
      <c r="A53" s="15" t="s">
        <v>109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25">
      <c r="A54" s="14" t="s">
        <v>108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25">
      <c r="A55" s="15" t="s">
        <v>110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25">
      <c r="A56" s="14" t="s">
        <v>109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25">
      <c r="A57" s="15" t="s">
        <v>110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25">
      <c r="A58" s="14" t="s">
        <v>108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25">
      <c r="A59" s="16" t="s">
        <v>109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ht="13" x14ac:dyDescent="0.3">
      <c r="A62" s="22" t="s">
        <v>135</v>
      </c>
    </row>
    <row r="63" spans="1:12" x14ac:dyDescent="0.25">
      <c r="A63" s="53" t="s">
        <v>136</v>
      </c>
      <c r="B63" s="53">
        <v>2.8408000000000002</v>
      </c>
      <c r="C63" s="53">
        <v>3.8536000000000001</v>
      </c>
      <c r="D63" s="53">
        <v>3.4855</v>
      </c>
      <c r="E63" s="53">
        <v>0.6532</v>
      </c>
      <c r="F63" s="53">
        <v>0.75349999999999995</v>
      </c>
      <c r="G63" s="53">
        <v>0.3725</v>
      </c>
      <c r="H63" s="53">
        <v>2.5781000000000001</v>
      </c>
      <c r="I63" s="53">
        <v>1.9675</v>
      </c>
      <c r="J63" s="53">
        <v>6.1159999999999999E-2</v>
      </c>
      <c r="K63" s="53">
        <v>0.65869999999999995</v>
      </c>
      <c r="L63" s="53">
        <v>0.66569999999999996</v>
      </c>
    </row>
    <row r="64" spans="1:12" x14ac:dyDescent="0.25">
      <c r="A64" s="53" t="s">
        <v>131</v>
      </c>
      <c r="B64" s="53">
        <v>0.24160000000000001</v>
      </c>
      <c r="C64" s="69">
        <v>0.14960000000000001</v>
      </c>
      <c r="D64" s="53">
        <v>0.17050000000000001</v>
      </c>
      <c r="E64" s="53">
        <v>0.72140000000000004</v>
      </c>
      <c r="F64" s="53">
        <v>0.68610000000000004</v>
      </c>
      <c r="G64" s="53">
        <v>0.83</v>
      </c>
      <c r="H64" s="53">
        <v>0.27550000000000002</v>
      </c>
      <c r="I64" s="53">
        <v>0.37390000000000001</v>
      </c>
      <c r="J64" s="53">
        <v>0.96989999999999998</v>
      </c>
      <c r="K64" s="53">
        <v>0.71940000000000004</v>
      </c>
      <c r="L64" s="53">
        <v>0.71689999999999998</v>
      </c>
    </row>
    <row r="65" spans="1:12" ht="14" x14ac:dyDescent="0.4">
      <c r="C65" s="70" t="s">
        <v>160</v>
      </c>
    </row>
    <row r="66" spans="1:12" ht="14" x14ac:dyDescent="0.4">
      <c r="D66" s="70" t="s">
        <v>161</v>
      </c>
    </row>
    <row r="67" spans="1:12" ht="13" x14ac:dyDescent="0.3">
      <c r="A67" s="22" t="s">
        <v>159</v>
      </c>
      <c r="D67" s="68"/>
      <c r="E67" s="68"/>
      <c r="F67" s="68"/>
      <c r="G67" s="68"/>
      <c r="H67" s="68"/>
      <c r="I67" s="68"/>
      <c r="J67" s="68"/>
      <c r="K67" s="68"/>
      <c r="L67" s="68"/>
    </row>
    <row r="68" spans="1:12" x14ac:dyDescent="0.25">
      <c r="A68" s="58" t="s">
        <v>109</v>
      </c>
    </row>
    <row r="69" spans="1:12" x14ac:dyDescent="0.25">
      <c r="A69" s="58" t="s">
        <v>146</v>
      </c>
    </row>
    <row r="70" spans="1:12" x14ac:dyDescent="0.25">
      <c r="A70" s="58" t="s">
        <v>158</v>
      </c>
    </row>
    <row r="71" spans="1:12" x14ac:dyDescent="0.25">
      <c r="A71"/>
    </row>
  </sheetData>
  <autoFilter ref="A1:L59" xr:uid="{8D6D9CF8-3725-48F5-883E-D7C82C1A5F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FAAD-5CC8-4ECF-897E-4E54DCF38B08}">
  <dimension ref="A1:O66"/>
  <sheetViews>
    <sheetView workbookViewId="0">
      <selection activeCell="Q18" sqref="Q18"/>
    </sheetView>
  </sheetViews>
  <sheetFormatPr defaultRowHeight="12.5" x14ac:dyDescent="0.25"/>
  <cols>
    <col min="1" max="1" width="14.90625" customWidth="1"/>
    <col min="2" max="10" width="10.6328125" bestFit="1" customWidth="1"/>
    <col min="11" max="12" width="11.54296875" bestFit="1" customWidth="1"/>
    <col min="14" max="14" width="10.81640625" bestFit="1" customWidth="1"/>
  </cols>
  <sheetData>
    <row r="1" spans="1:15" x14ac:dyDescent="0.25">
      <c r="A1" s="9" t="s">
        <v>106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25">
      <c r="A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25">
      <c r="A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25">
      <c r="A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25">
      <c r="A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</row>
    <row r="6" spans="1:15" x14ac:dyDescent="0.25">
      <c r="A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166</v>
      </c>
      <c r="O6" s="58" t="s">
        <v>168</v>
      </c>
    </row>
    <row r="7" spans="1:15" x14ac:dyDescent="0.25">
      <c r="A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169</v>
      </c>
      <c r="O7" s="71">
        <v>8</v>
      </c>
    </row>
    <row r="8" spans="1:15" x14ac:dyDescent="0.25">
      <c r="A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170</v>
      </c>
      <c r="O8" s="72">
        <v>26</v>
      </c>
    </row>
    <row r="9" spans="1:15" x14ac:dyDescent="0.25">
      <c r="A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171</v>
      </c>
      <c r="O9" s="71">
        <v>20</v>
      </c>
    </row>
    <row r="10" spans="1:15" x14ac:dyDescent="0.25">
      <c r="A10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  <c r="N10" s="58" t="s">
        <v>172</v>
      </c>
      <c r="O10" s="72">
        <v>4</v>
      </c>
    </row>
    <row r="11" spans="1:15" x14ac:dyDescent="0.25">
      <c r="A11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25">
      <c r="A12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25">
      <c r="A13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25">
      <c r="A14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25">
      <c r="A15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25">
      <c r="A16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25">
      <c r="A17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25">
      <c r="A18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25">
      <c r="A1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25">
      <c r="A2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25">
      <c r="A2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25">
      <c r="A2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25">
      <c r="A2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25">
      <c r="A2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25">
      <c r="A2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25">
      <c r="A2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25">
      <c r="A2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25">
      <c r="A2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25">
      <c r="A2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25">
      <c r="A3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25">
      <c r="A3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25">
      <c r="A3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25">
      <c r="A3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25">
      <c r="A3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25">
      <c r="A3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25">
      <c r="A3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25">
      <c r="A3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25">
      <c r="A3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25">
      <c r="A3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25">
      <c r="A4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25">
      <c r="A4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25">
      <c r="A4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25">
      <c r="A4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25">
      <c r="A4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25">
      <c r="A4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25">
      <c r="A4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25">
      <c r="A4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25">
      <c r="A4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25">
      <c r="A4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25">
      <c r="A5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25">
      <c r="A5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25">
      <c r="A5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25">
      <c r="A5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25">
      <c r="A5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25">
      <c r="A5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25">
      <c r="A5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25">
      <c r="A5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25">
      <c r="A5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25">
      <c r="A59" s="12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ht="13" x14ac:dyDescent="0.3">
      <c r="A62" s="22" t="s">
        <v>135</v>
      </c>
    </row>
    <row r="63" spans="1:12" x14ac:dyDescent="0.25">
      <c r="A63" t="s">
        <v>136</v>
      </c>
      <c r="B63">
        <v>2.1602000000000001</v>
      </c>
      <c r="C63">
        <v>0.8407</v>
      </c>
      <c r="D63">
        <v>2.6408</v>
      </c>
      <c r="E63">
        <v>3.5013000000000001</v>
      </c>
      <c r="F63">
        <v>0.57779999999999998</v>
      </c>
      <c r="G63">
        <v>2.4527999999999999</v>
      </c>
      <c r="H63">
        <v>2.9352999999999998</v>
      </c>
      <c r="I63">
        <v>1.0945</v>
      </c>
      <c r="J63">
        <v>1.7653000000000001</v>
      </c>
      <c r="K63">
        <v>1.1749000000000001</v>
      </c>
      <c r="L63">
        <v>5.4200000000000003E-3</v>
      </c>
    </row>
    <row r="64" spans="1:12" x14ac:dyDescent="0.25">
      <c r="A64" t="s">
        <v>131</v>
      </c>
      <c r="B64">
        <v>0.33960000000000001</v>
      </c>
      <c r="C64">
        <v>0.65680000000000005</v>
      </c>
      <c r="D64">
        <v>0.26700000000000002</v>
      </c>
      <c r="E64">
        <v>0.17369999999999999</v>
      </c>
      <c r="F64">
        <v>0.74909999999999999</v>
      </c>
      <c r="G64">
        <v>0.29339999999999999</v>
      </c>
      <c r="H64">
        <v>0.23050000000000001</v>
      </c>
      <c r="I64">
        <v>0.57850000000000001</v>
      </c>
      <c r="J64">
        <v>0.41370000000000001</v>
      </c>
      <c r="K64">
        <v>0.55569999999999997</v>
      </c>
      <c r="L64">
        <v>0.99729999999999996</v>
      </c>
    </row>
    <row r="66" spans="1:8" x14ac:dyDescent="0.25">
      <c r="A66" s="58"/>
      <c r="D66" s="74"/>
      <c r="E66" s="74"/>
      <c r="F66" s="74"/>
      <c r="G66" s="74"/>
      <c r="H66" s="74"/>
    </row>
  </sheetData>
  <autoFilter ref="A1:L59" xr:uid="{CFCAFAAD-5CC8-4ECF-897E-4E54DCF38B0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4415-665B-44A7-A165-F3781282CF17}">
  <dimension ref="A1:L28"/>
  <sheetViews>
    <sheetView workbookViewId="0">
      <selection activeCell="F35" sqref="F35"/>
    </sheetView>
  </sheetViews>
  <sheetFormatPr defaultRowHeight="12.5" x14ac:dyDescent="0.25"/>
  <cols>
    <col min="1" max="1" width="19" bestFit="1" customWidth="1"/>
    <col min="2" max="8" width="11.08984375" bestFit="1" customWidth="1"/>
    <col min="9" max="9" width="10.90625" bestFit="1" customWidth="1"/>
    <col min="10" max="10" width="11.81640625" bestFit="1" customWidth="1"/>
    <col min="11" max="12" width="12.08984375" bestFit="1" customWidth="1"/>
  </cols>
  <sheetData>
    <row r="1" spans="1:12" ht="13" x14ac:dyDescent="0.3">
      <c r="A1" s="22" t="s">
        <v>139</v>
      </c>
      <c r="B1" s="22" t="s">
        <v>120</v>
      </c>
      <c r="C1" s="22" t="s">
        <v>121</v>
      </c>
      <c r="D1" s="22" t="s">
        <v>122</v>
      </c>
      <c r="E1" s="22" t="s">
        <v>123</v>
      </c>
      <c r="F1" s="22" t="s">
        <v>140</v>
      </c>
      <c r="G1" s="22" t="s">
        <v>125</v>
      </c>
      <c r="H1" s="22" t="s">
        <v>126</v>
      </c>
      <c r="I1" s="22" t="s">
        <v>141</v>
      </c>
      <c r="J1" s="22" t="s">
        <v>142</v>
      </c>
      <c r="K1" s="22" t="s">
        <v>143</v>
      </c>
      <c r="L1" s="22" t="s">
        <v>144</v>
      </c>
    </row>
    <row r="2" spans="1:12" ht="13" x14ac:dyDescent="0.3">
      <c r="A2" s="22" t="s">
        <v>137</v>
      </c>
      <c r="B2" s="22"/>
      <c r="C2" s="22"/>
    </row>
    <row r="3" spans="1:12" x14ac:dyDescent="0.25">
      <c r="A3" s="58" t="s">
        <v>20</v>
      </c>
      <c r="B3" s="60">
        <v>1.099E-4</v>
      </c>
      <c r="C3" s="61">
        <v>2.7010000000000002E-8</v>
      </c>
      <c r="D3" s="60">
        <v>1.605E-5</v>
      </c>
      <c r="E3" s="60">
        <v>1.7440000000000001E-2</v>
      </c>
      <c r="F3" s="61">
        <v>2.2029999999999999E-8</v>
      </c>
      <c r="G3" s="60">
        <v>1.8560000000000001E-4</v>
      </c>
      <c r="H3" s="60">
        <v>1.8549999999999999E-7</v>
      </c>
      <c r="I3" s="60">
        <v>1.1850000000000001E-3</v>
      </c>
      <c r="J3" s="60">
        <v>1.026E-6</v>
      </c>
      <c r="K3" s="60">
        <v>8.3079999999999994E-3</v>
      </c>
      <c r="L3" s="60">
        <v>9.5169999999999999E-4</v>
      </c>
    </row>
    <row r="4" spans="1:12" x14ac:dyDescent="0.25">
      <c r="A4" s="58" t="s">
        <v>11</v>
      </c>
      <c r="B4" s="60">
        <v>3.0829999999999998E-3</v>
      </c>
      <c r="C4" s="60">
        <v>1.189E-4</v>
      </c>
      <c r="D4" s="60">
        <v>1.462E-4</v>
      </c>
      <c r="E4" s="60">
        <v>1.0290000000000001E-2</v>
      </c>
      <c r="F4" s="60">
        <v>5.2219999999999998E-5</v>
      </c>
      <c r="G4" s="60">
        <v>1.359E-3</v>
      </c>
      <c r="H4" s="60">
        <v>2.5190000000000001E-5</v>
      </c>
      <c r="I4" s="62">
        <v>8.3680000000000004E-2</v>
      </c>
      <c r="J4" s="60">
        <v>1.2520000000000001E-4</v>
      </c>
      <c r="K4" s="60">
        <v>4.267E-3</v>
      </c>
      <c r="L4" s="60">
        <v>5.7569999999999999E-5</v>
      </c>
    </row>
    <row r="5" spans="1:12" x14ac:dyDescent="0.25">
      <c r="A5" s="58" t="s">
        <v>17</v>
      </c>
      <c r="B5" s="60">
        <v>2.46E-2</v>
      </c>
      <c r="C5" s="60">
        <v>6.2290000000000002E-3</v>
      </c>
      <c r="D5" s="60">
        <v>1.7279999999999999E-3</v>
      </c>
      <c r="E5" s="60">
        <v>3.0099999999999998E-2</v>
      </c>
      <c r="F5" s="60">
        <v>2.3279999999999999E-4</v>
      </c>
      <c r="G5" s="60">
        <v>1.8020000000000001E-2</v>
      </c>
      <c r="H5" s="60">
        <v>1.7409999999999999E-3</v>
      </c>
      <c r="I5" s="62">
        <v>0.12280000000000001</v>
      </c>
      <c r="J5" s="60">
        <v>1.8020000000000001E-2</v>
      </c>
      <c r="K5" s="60">
        <v>1.209E-6</v>
      </c>
      <c r="L5" s="60">
        <v>8.1800000000000004E-4</v>
      </c>
    </row>
    <row r="6" spans="1:12" ht="13" x14ac:dyDescent="0.3">
      <c r="A6" s="22" t="s">
        <v>138</v>
      </c>
    </row>
    <row r="13" spans="1:12" ht="13" x14ac:dyDescent="0.3">
      <c r="A13" s="22" t="s">
        <v>145</v>
      </c>
      <c r="B13" s="22" t="s">
        <v>120</v>
      </c>
      <c r="C13" s="22" t="s">
        <v>121</v>
      </c>
      <c r="D13" s="22" t="s">
        <v>122</v>
      </c>
      <c r="E13" s="22" t="s">
        <v>123</v>
      </c>
      <c r="F13" s="22" t="s">
        <v>140</v>
      </c>
      <c r="G13" s="22" t="s">
        <v>125</v>
      </c>
      <c r="H13" s="22" t="s">
        <v>126</v>
      </c>
      <c r="I13" s="22" t="s">
        <v>141</v>
      </c>
      <c r="J13" s="22" t="s">
        <v>142</v>
      </c>
      <c r="K13" s="22" t="s">
        <v>143</v>
      </c>
      <c r="L13" s="22" t="s">
        <v>144</v>
      </c>
    </row>
    <row r="14" spans="1:12" ht="13" x14ac:dyDescent="0.3">
      <c r="A14" s="22" t="s">
        <v>137</v>
      </c>
      <c r="B14" s="22"/>
      <c r="C14" s="22"/>
    </row>
    <row r="15" spans="1:12" x14ac:dyDescent="0.25">
      <c r="A15" s="58" t="s">
        <v>114</v>
      </c>
      <c r="B15" s="59">
        <v>0.12659999999999999</v>
      </c>
      <c r="C15" s="61">
        <v>1.3270000000000001E-3</v>
      </c>
      <c r="D15" s="60">
        <v>4.4650000000000002E-3</v>
      </c>
      <c r="E15" s="59">
        <v>0.18340000000000001</v>
      </c>
      <c r="F15" s="61">
        <v>2.8130000000000001E-4</v>
      </c>
      <c r="G15" s="64">
        <v>2.2499999999999999E-2</v>
      </c>
      <c r="H15" s="60">
        <v>3.8179999999999997E-5</v>
      </c>
      <c r="I15" s="63">
        <v>5.151E-2</v>
      </c>
      <c r="J15" s="60">
        <v>4.4650000000000002E-3</v>
      </c>
      <c r="K15" s="63">
        <v>6.8089999999999998E-2</v>
      </c>
      <c r="L15" s="60">
        <v>2.2499999999999999E-2</v>
      </c>
    </row>
    <row r="16" spans="1:12" x14ac:dyDescent="0.25">
      <c r="A16" s="58" t="s">
        <v>133</v>
      </c>
      <c r="B16" s="60">
        <v>1.622E-3</v>
      </c>
      <c r="C16" s="60">
        <v>7.9079999999999995E-5</v>
      </c>
      <c r="D16" s="60"/>
      <c r="E16" s="64">
        <v>2.4049999999999998E-2</v>
      </c>
      <c r="F16" s="60"/>
      <c r="G16" s="60"/>
      <c r="H16" s="60"/>
      <c r="I16" s="60">
        <v>3.8049999999999998E-3</v>
      </c>
      <c r="J16" s="60"/>
      <c r="K16" s="60">
        <v>9.3320000000000002E-4</v>
      </c>
      <c r="L16" s="60"/>
    </row>
    <row r="17" spans="1:12" x14ac:dyDescent="0.25">
      <c r="A17" s="58" t="s">
        <v>20</v>
      </c>
      <c r="B17" s="60">
        <v>1.2819999999999999E-3</v>
      </c>
      <c r="C17" s="60"/>
      <c r="D17" s="60"/>
      <c r="E17" s="60"/>
      <c r="F17" s="60"/>
      <c r="G17" s="60"/>
      <c r="H17" s="60"/>
      <c r="I17" s="62"/>
      <c r="J17" s="60"/>
      <c r="K17" s="60"/>
      <c r="L17" s="60"/>
    </row>
    <row r="18" spans="1:12" ht="13" x14ac:dyDescent="0.3">
      <c r="A18" s="22" t="s">
        <v>138</v>
      </c>
    </row>
    <row r="23" spans="1:12" ht="13" x14ac:dyDescent="0.3">
      <c r="A23" s="22" t="s">
        <v>145</v>
      </c>
      <c r="B23" s="22" t="s">
        <v>120</v>
      </c>
      <c r="C23" s="22" t="s">
        <v>121</v>
      </c>
      <c r="D23" s="22" t="s">
        <v>122</v>
      </c>
      <c r="E23" s="22" t="s">
        <v>123</v>
      </c>
      <c r="F23" s="22" t="s">
        <v>140</v>
      </c>
      <c r="G23" s="22" t="s">
        <v>125</v>
      </c>
      <c r="H23" s="22" t="s">
        <v>126</v>
      </c>
      <c r="I23" s="22" t="s">
        <v>141</v>
      </c>
      <c r="J23" s="22" t="s">
        <v>142</v>
      </c>
      <c r="K23" s="22" t="s">
        <v>143</v>
      </c>
      <c r="L23" s="22" t="s">
        <v>144</v>
      </c>
    </row>
    <row r="24" spans="1:12" ht="13" x14ac:dyDescent="0.3">
      <c r="A24" s="22" t="s">
        <v>137</v>
      </c>
      <c r="B24" s="22"/>
      <c r="C24" s="22"/>
    </row>
    <row r="25" spans="1:12" x14ac:dyDescent="0.25">
      <c r="A25" s="58" t="s">
        <v>109</v>
      </c>
      <c r="B25" s="60">
        <v>1.5310000000000001E-2</v>
      </c>
      <c r="C25" s="61">
        <v>7.6809999999999997E-4</v>
      </c>
      <c r="D25" s="60">
        <v>1.4499999999999999E-3</v>
      </c>
      <c r="E25" s="60">
        <v>1.951E-4</v>
      </c>
      <c r="F25" s="61">
        <v>1.1790000000000001E-5</v>
      </c>
      <c r="G25" s="60">
        <v>1.4499999999999999E-3</v>
      </c>
      <c r="H25" s="60">
        <v>4.1169999999999998E-4</v>
      </c>
      <c r="I25" s="60">
        <v>4.9540000000000001E-3</v>
      </c>
      <c r="J25" s="60">
        <v>3.59E-4</v>
      </c>
      <c r="K25" s="60">
        <v>3.4060000000000003E-5</v>
      </c>
      <c r="L25" s="60">
        <v>5.9330000000000003E-5</v>
      </c>
    </row>
    <row r="26" spans="1:12" x14ac:dyDescent="0.25">
      <c r="A26" s="58" t="s">
        <v>146</v>
      </c>
    </row>
    <row r="27" spans="1:12" x14ac:dyDescent="0.25">
      <c r="A27" s="58" t="s">
        <v>110</v>
      </c>
    </row>
    <row r="28" spans="1:12" ht="13" x14ac:dyDescent="0.3">
      <c r="A28" s="2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Participants responses</vt:lpstr>
      <vt:lpstr>Risk profile</vt:lpstr>
      <vt:lpstr>Familiarity</vt:lpstr>
      <vt:lpstr>Roles</vt:lpstr>
      <vt:lpstr>Age</vt:lpstr>
      <vt:lpstr>Shapiro Wilk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Sadovski</dc:creator>
  <cp:lastModifiedBy>Eran Sadovski</cp:lastModifiedBy>
  <dcterms:created xsi:type="dcterms:W3CDTF">2025-07-18T14:34:59Z</dcterms:created>
  <dcterms:modified xsi:type="dcterms:W3CDTF">2025-08-06T07:50:22Z</dcterms:modified>
</cp:coreProperties>
</file>